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5330" windowHeight="5670"/>
  </bookViews>
  <sheets>
    <sheet name="TP,SOD,CAT,GPx,MDA,GSH,TA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AK28" i="1"/>
  <c r="AG28" i="1"/>
  <c r="R28" i="1"/>
  <c r="L28" i="1"/>
  <c r="N28" i="1" s="1"/>
  <c r="E28" i="1"/>
  <c r="AC28" i="1" s="1"/>
  <c r="AK27" i="1"/>
  <c r="AG27" i="1"/>
  <c r="R27" i="1"/>
  <c r="L27" i="1"/>
  <c r="N27" i="1" s="1"/>
  <c r="E27" i="1"/>
  <c r="AC27" i="1" s="1"/>
  <c r="AK26" i="1"/>
  <c r="AG26" i="1"/>
  <c r="R26" i="1"/>
  <c r="L26" i="1"/>
  <c r="N26" i="1" s="1"/>
  <c r="E26" i="1"/>
  <c r="AC26" i="1" s="1"/>
  <c r="AK25" i="1"/>
  <c r="AG25" i="1"/>
  <c r="R25" i="1"/>
  <c r="L25" i="1"/>
  <c r="N25" i="1" s="1"/>
  <c r="E25" i="1"/>
  <c r="AC25" i="1" s="1"/>
  <c r="AK24" i="1"/>
  <c r="AG24" i="1"/>
  <c r="R24" i="1"/>
  <c r="L24" i="1"/>
  <c r="N24" i="1" s="1"/>
  <c r="E24" i="1"/>
  <c r="AC24" i="1" s="1"/>
  <c r="AK23" i="1"/>
  <c r="AG23" i="1"/>
  <c r="R23" i="1"/>
  <c r="U23" i="1" s="1"/>
  <c r="L23" i="1"/>
  <c r="N23" i="1" s="1"/>
  <c r="E23" i="1"/>
  <c r="AC23" i="1" s="1"/>
  <c r="AK22" i="1"/>
  <c r="AG22" i="1"/>
  <c r="R22" i="1"/>
  <c r="L22" i="1"/>
  <c r="N22" i="1" s="1"/>
  <c r="E22" i="1"/>
  <c r="AK21" i="1"/>
  <c r="AG21" i="1"/>
  <c r="R21" i="1"/>
  <c r="L21" i="1"/>
  <c r="N21" i="1" s="1"/>
  <c r="E21" i="1"/>
  <c r="AC21" i="1" s="1"/>
  <c r="AK20" i="1"/>
  <c r="AG20" i="1"/>
  <c r="R20" i="1"/>
  <c r="L20" i="1"/>
  <c r="N20" i="1" s="1"/>
  <c r="E20" i="1"/>
  <c r="AC20" i="1" s="1"/>
  <c r="AK19" i="1"/>
  <c r="AG19" i="1"/>
  <c r="R19" i="1"/>
  <c r="L19" i="1"/>
  <c r="N19" i="1" s="1"/>
  <c r="E19" i="1"/>
  <c r="AC19" i="1" s="1"/>
  <c r="AK18" i="1"/>
  <c r="AG18" i="1"/>
  <c r="R18" i="1"/>
  <c r="L18" i="1"/>
  <c r="N18" i="1" s="1"/>
  <c r="E18" i="1"/>
  <c r="AC18" i="1" s="1"/>
  <c r="AK17" i="1"/>
  <c r="AG17" i="1"/>
  <c r="R17" i="1"/>
  <c r="U17" i="1" s="1"/>
  <c r="L17" i="1"/>
  <c r="N17" i="1" s="1"/>
  <c r="E17" i="1"/>
  <c r="AC17" i="1" s="1"/>
  <c r="AK16" i="1"/>
  <c r="AG16" i="1"/>
  <c r="R16" i="1"/>
  <c r="L16" i="1"/>
  <c r="N16" i="1" s="1"/>
  <c r="E16" i="1"/>
  <c r="AC16" i="1" s="1"/>
  <c r="AK15" i="1"/>
  <c r="AG15" i="1"/>
  <c r="R15" i="1"/>
  <c r="L15" i="1"/>
  <c r="N15" i="1" s="1"/>
  <c r="E15" i="1"/>
  <c r="AC15" i="1" s="1"/>
  <c r="AK14" i="1"/>
  <c r="AG14" i="1"/>
  <c r="R14" i="1"/>
  <c r="L14" i="1"/>
  <c r="N14" i="1" s="1"/>
  <c r="E14" i="1"/>
  <c r="AC14" i="1" s="1"/>
  <c r="AK13" i="1"/>
  <c r="AG13" i="1"/>
  <c r="R13" i="1"/>
  <c r="U13" i="1" s="1"/>
  <c r="L13" i="1"/>
  <c r="N13" i="1" s="1"/>
  <c r="E13" i="1"/>
  <c r="AC13" i="1" s="1"/>
  <c r="AK12" i="1"/>
  <c r="AG12" i="1"/>
  <c r="R12" i="1"/>
  <c r="L12" i="1"/>
  <c r="N12" i="1" s="1"/>
  <c r="E12" i="1"/>
  <c r="AC12" i="1" s="1"/>
  <c r="AK11" i="1"/>
  <c r="AG11" i="1"/>
  <c r="R11" i="1"/>
  <c r="U11" i="1" s="1"/>
  <c r="L11" i="1"/>
  <c r="N11" i="1" s="1"/>
  <c r="E11" i="1"/>
  <c r="AC11" i="1" s="1"/>
  <c r="AK10" i="1"/>
  <c r="AG10" i="1"/>
  <c r="R10" i="1"/>
  <c r="L10" i="1"/>
  <c r="N10" i="1" s="1"/>
  <c r="E10" i="1"/>
  <c r="AC10" i="1" s="1"/>
  <c r="AK9" i="1"/>
  <c r="AG9" i="1"/>
  <c r="R9" i="1"/>
  <c r="L9" i="1"/>
  <c r="N9" i="1" s="1"/>
  <c r="E9" i="1"/>
  <c r="AC9" i="1" s="1"/>
  <c r="AK8" i="1"/>
  <c r="AG8" i="1"/>
  <c r="R8" i="1"/>
  <c r="L8" i="1"/>
  <c r="N8" i="1" s="1"/>
  <c r="E8" i="1"/>
  <c r="AC8" i="1" s="1"/>
  <c r="AK7" i="1"/>
  <c r="AG7" i="1"/>
  <c r="R7" i="1"/>
  <c r="L7" i="1"/>
  <c r="N7" i="1" s="1"/>
  <c r="E7" i="1"/>
  <c r="AC7" i="1" s="1"/>
  <c r="AK6" i="1"/>
  <c r="AG6" i="1"/>
  <c r="R6" i="1"/>
  <c r="L6" i="1"/>
  <c r="N6" i="1" s="1"/>
  <c r="E6" i="1"/>
  <c r="AC6" i="1" s="1"/>
  <c r="AK5" i="1"/>
  <c r="AG5" i="1"/>
  <c r="R5" i="1"/>
  <c r="U5" i="1" s="1"/>
  <c r="L5" i="1"/>
  <c r="N5" i="1" s="1"/>
  <c r="E5" i="1"/>
  <c r="AC5" i="1" s="1"/>
  <c r="AK4" i="1"/>
  <c r="AG4" i="1"/>
  <c r="R4" i="1"/>
  <c r="L4" i="1"/>
  <c r="N4" i="1" s="1"/>
  <c r="E4" i="1"/>
  <c r="AC4" i="1" s="1"/>
  <c r="AK3" i="1"/>
  <c r="AG3" i="1"/>
  <c r="R3" i="1"/>
  <c r="I3" i="1"/>
  <c r="L3" i="1" s="1"/>
  <c r="E3" i="1"/>
  <c r="AC3" i="1" s="1"/>
  <c r="U28" i="1" l="1"/>
  <c r="U27" i="1"/>
  <c r="U26" i="1"/>
  <c r="U25" i="1"/>
  <c r="U24" i="1"/>
  <c r="U21" i="1"/>
  <c r="U19" i="1"/>
  <c r="U15" i="1"/>
  <c r="U9" i="1"/>
  <c r="U7" i="1"/>
  <c r="U3" i="1"/>
  <c r="Y4" i="1"/>
  <c r="Y6" i="1"/>
  <c r="Y8" i="1"/>
  <c r="Y10" i="1"/>
  <c r="Y12" i="1"/>
  <c r="Y14" i="1"/>
  <c r="Y16" i="1"/>
  <c r="Y18" i="1"/>
  <c r="Y20" i="1"/>
  <c r="AC22" i="1"/>
  <c r="Y22" i="1"/>
  <c r="N3" i="1"/>
  <c r="Y3" i="1"/>
  <c r="U4" i="1"/>
  <c r="Y5" i="1"/>
  <c r="U6" i="1"/>
  <c r="Y7" i="1"/>
  <c r="U8" i="1"/>
  <c r="Y9" i="1"/>
  <c r="U10" i="1"/>
  <c r="Y11" i="1"/>
  <c r="U12" i="1"/>
  <c r="Y13" i="1"/>
  <c r="U14" i="1"/>
  <c r="Y15" i="1"/>
  <c r="U16" i="1"/>
  <c r="Y17" i="1"/>
  <c r="U18" i="1"/>
  <c r="Y19" i="1"/>
  <c r="U20" i="1"/>
  <c r="Y21" i="1"/>
  <c r="U22" i="1"/>
  <c r="Y23" i="1"/>
  <c r="Y24" i="1"/>
  <c r="Y25" i="1"/>
  <c r="Y26" i="1"/>
  <c r="Y27" i="1"/>
  <c r="Y28" i="1"/>
</calcChain>
</file>

<file path=xl/sharedStrings.xml><?xml version="1.0" encoding="utf-8"?>
<sst xmlns="http://schemas.openxmlformats.org/spreadsheetml/2006/main" count="66" uniqueCount="38">
  <si>
    <t>Prot</t>
  </si>
  <si>
    <t>Std</t>
  </si>
  <si>
    <t>SOD</t>
  </si>
  <si>
    <t>Aver</t>
  </si>
  <si>
    <t>CAT</t>
  </si>
  <si>
    <t>GPx</t>
  </si>
  <si>
    <t>MDA</t>
  </si>
  <si>
    <t>GSH</t>
  </si>
  <si>
    <t>Red. GSH</t>
  </si>
  <si>
    <t>TAC</t>
  </si>
  <si>
    <t>Abs</t>
  </si>
  <si>
    <t>Conc</t>
  </si>
  <si>
    <t>g/dL</t>
  </si>
  <si>
    <t>0s</t>
  </si>
  <si>
    <t>30s</t>
  </si>
  <si>
    <t>60s</t>
  </si>
  <si>
    <t>Ref</t>
  </si>
  <si>
    <t>%</t>
  </si>
  <si>
    <t>% Inhib</t>
  </si>
  <si>
    <t>Const</t>
  </si>
  <si>
    <t>U/g Prot</t>
  </si>
  <si>
    <t>Vt</t>
  </si>
  <si>
    <t>Mv</t>
  </si>
  <si>
    <t>Evs</t>
  </si>
  <si>
    <t>V mL</t>
  </si>
  <si>
    <t>MV</t>
  </si>
  <si>
    <t>mol/g Prot</t>
  </si>
  <si>
    <t>AbS</t>
  </si>
  <si>
    <t>ug/mL</t>
  </si>
  <si>
    <t>Abs (Asc)</t>
  </si>
  <si>
    <t>SAMPLE</t>
  </si>
  <si>
    <t>ID</t>
  </si>
  <si>
    <t>BL 1</t>
  </si>
  <si>
    <t>IBU 1</t>
  </si>
  <si>
    <t>MG 1</t>
  </si>
  <si>
    <t>NG 1</t>
  </si>
  <si>
    <t>CL 16</t>
  </si>
  <si>
    <t>CL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</si>
</sst>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tabSelected="1" topLeftCell="T1" workbookViewId="0">
      <selection activeCell="V1" sqref="V1"/>
    </sheetView>
  </sheetViews>
  <sheetFormatPr defaultRowHeight="15" x14ac:dyDescent="0.25"/>
  <cols>
    <col min="1" max="1" width="6.140625" customWidth="1"/>
    <col min="2" max="2" width="5.85546875" customWidth="1"/>
    <col min="3" max="3" width="6.140625" customWidth="1"/>
    <col min="4" max="4" width="5.28515625" customWidth="1"/>
    <col min="5" max="5" width="5.7109375" customWidth="1"/>
    <col min="6" max="6" width="6.140625" customWidth="1"/>
    <col min="7" max="7" width="6" customWidth="1"/>
    <col min="8" max="8" width="5.85546875" customWidth="1"/>
    <col min="9" max="9" width="6.28515625" customWidth="1"/>
    <col min="10" max="10" width="6" customWidth="1"/>
    <col min="11" max="11" width="4.42578125" customWidth="1"/>
    <col min="12" max="12" width="7.5703125" customWidth="1"/>
    <col min="13" max="13" width="5.85546875" customWidth="1"/>
    <col min="14" max="14" width="8.28515625" customWidth="1"/>
    <col min="15" max="18" width="6" customWidth="1"/>
    <col min="19" max="19" width="4" customWidth="1"/>
    <col min="20" max="20" width="3.5703125" customWidth="1"/>
    <col min="21" max="21" width="8.42578125" customWidth="1"/>
    <col min="22" max="22" width="6.28515625" customWidth="1"/>
    <col min="23" max="23" width="5.28515625" customWidth="1"/>
    <col min="24" max="24" width="4.85546875" customWidth="1"/>
    <col min="25" max="25" width="8.42578125" customWidth="1"/>
    <col min="26" max="26" width="6.140625" customWidth="1"/>
    <col min="27" max="27" width="5.28515625" customWidth="1"/>
    <col min="28" max="28" width="5.42578125" customWidth="1"/>
    <col min="29" max="29" width="10" customWidth="1"/>
    <col min="30" max="30" width="6.140625" customWidth="1"/>
    <col min="31" max="31" width="6.28515625" customWidth="1"/>
    <col min="32" max="32" width="5" customWidth="1"/>
    <col min="34" max="34" width="6.28515625" customWidth="1"/>
    <col min="35" max="35" width="9.140625" customWidth="1"/>
    <col min="36" max="36" width="5.28515625" customWidth="1"/>
    <col min="37" max="37" width="6.5703125" customWidth="1"/>
  </cols>
  <sheetData>
    <row r="1" spans="1:37" x14ac:dyDescent="0.25">
      <c r="A1" t="s">
        <v>30</v>
      </c>
      <c r="B1" t="s">
        <v>0</v>
      </c>
      <c r="C1" t="s">
        <v>1</v>
      </c>
      <c r="D1" t="s">
        <v>1</v>
      </c>
      <c r="E1" s="1" t="s">
        <v>0</v>
      </c>
      <c r="G1" t="s">
        <v>2</v>
      </c>
      <c r="I1" t="s">
        <v>3</v>
      </c>
      <c r="N1" s="1" t="s">
        <v>2</v>
      </c>
      <c r="P1" t="s">
        <v>4</v>
      </c>
      <c r="R1" t="s">
        <v>3</v>
      </c>
      <c r="U1" s="1" t="s">
        <v>4</v>
      </c>
      <c r="V1" t="s">
        <v>5</v>
      </c>
      <c r="Y1" s="1" t="s">
        <v>5</v>
      </c>
      <c r="Z1" t="s">
        <v>6</v>
      </c>
      <c r="AC1" s="1" t="s">
        <v>6</v>
      </c>
      <c r="AD1" t="s">
        <v>7</v>
      </c>
      <c r="AE1" t="s">
        <v>1</v>
      </c>
      <c r="AF1" t="s">
        <v>1</v>
      </c>
      <c r="AG1" s="1" t="s">
        <v>8</v>
      </c>
      <c r="AH1" t="s">
        <v>9</v>
      </c>
      <c r="AI1" t="s">
        <v>1</v>
      </c>
      <c r="AJ1" t="s">
        <v>1</v>
      </c>
      <c r="AK1" s="1" t="s">
        <v>9</v>
      </c>
    </row>
    <row r="2" spans="1:37" x14ac:dyDescent="0.25">
      <c r="A2" t="s">
        <v>31</v>
      </c>
      <c r="B2" t="s">
        <v>10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  <c r="I2" t="s">
        <v>10</v>
      </c>
      <c r="J2" t="s">
        <v>16</v>
      </c>
      <c r="K2" t="s">
        <v>17</v>
      </c>
      <c r="L2" t="s">
        <v>18</v>
      </c>
      <c r="M2" t="s">
        <v>19</v>
      </c>
      <c r="N2" s="1" t="s">
        <v>20</v>
      </c>
      <c r="O2" t="s">
        <v>13</v>
      </c>
      <c r="P2" t="s">
        <v>14</v>
      </c>
      <c r="Q2" t="s">
        <v>15</v>
      </c>
      <c r="R2" t="s">
        <v>10</v>
      </c>
      <c r="S2" t="s">
        <v>21</v>
      </c>
      <c r="T2" t="s">
        <v>22</v>
      </c>
      <c r="U2" s="1" t="s">
        <v>20</v>
      </c>
      <c r="V2" t="s">
        <v>10</v>
      </c>
      <c r="W2" t="s">
        <v>21</v>
      </c>
      <c r="X2" t="s">
        <v>23</v>
      </c>
      <c r="Y2" s="1" t="s">
        <v>20</v>
      </c>
      <c r="Z2" t="s">
        <v>10</v>
      </c>
      <c r="AA2" t="s">
        <v>24</v>
      </c>
      <c r="AB2" t="s">
        <v>25</v>
      </c>
      <c r="AC2" s="1" t="s">
        <v>26</v>
      </c>
      <c r="AD2" t="s">
        <v>10</v>
      </c>
      <c r="AE2" t="s">
        <v>27</v>
      </c>
      <c r="AF2" t="s">
        <v>11</v>
      </c>
      <c r="AG2" s="1" t="s">
        <v>28</v>
      </c>
      <c r="AH2" t="s">
        <v>10</v>
      </c>
      <c r="AI2" t="s">
        <v>29</v>
      </c>
      <c r="AJ2" t="s">
        <v>11</v>
      </c>
      <c r="AK2" s="1" t="s">
        <v>28</v>
      </c>
    </row>
    <row r="3" spans="1:37" x14ac:dyDescent="0.25">
      <c r="A3" t="s">
        <v>32</v>
      </c>
      <c r="B3">
        <v>6.0999999999999999E-2</v>
      </c>
      <c r="C3">
        <v>0.35099999999999998</v>
      </c>
      <c r="D3">
        <v>5.81</v>
      </c>
      <c r="E3" s="1">
        <f>(B3/C3)*D3</f>
        <v>1.0097150997150997</v>
      </c>
      <c r="F3">
        <v>0.124</v>
      </c>
      <c r="G3">
        <v>0.13200000000000001</v>
      </c>
      <c r="H3">
        <v>0.13200000000000001</v>
      </c>
      <c r="I3">
        <f>(F3+G3+H3)/3</f>
        <v>0.12933333333333333</v>
      </c>
      <c r="J3">
        <v>2.1999999999999999E-2</v>
      </c>
      <c r="K3">
        <v>100</v>
      </c>
      <c r="L3">
        <f>(I3-J3)/I3*K3</f>
        <v>82.989690721649495</v>
      </c>
      <c r="M3">
        <v>50</v>
      </c>
      <c r="N3" s="1">
        <f>L3/(M3*E3)</f>
        <v>1.6438239013176252</v>
      </c>
      <c r="O3">
        <v>1.6</v>
      </c>
      <c r="P3">
        <v>1.619</v>
      </c>
      <c r="Q3">
        <v>1.623</v>
      </c>
      <c r="R3">
        <f>(O3+P3+Q3)/3</f>
        <v>1.6140000000000001</v>
      </c>
      <c r="S3">
        <v>2.4</v>
      </c>
      <c r="T3">
        <v>4</v>
      </c>
      <c r="U3" s="1">
        <f>(R3*S3)/(T3*E3)</f>
        <v>0.95908241866764488</v>
      </c>
      <c r="V3">
        <v>0.58799999999999997</v>
      </c>
      <c r="W3">
        <v>1.84</v>
      </c>
      <c r="X3">
        <v>0.48</v>
      </c>
      <c r="Y3" s="1">
        <f>(V3*W3)/(X3*E3)</f>
        <v>2.2323128579893345</v>
      </c>
      <c r="Z3">
        <v>0.191</v>
      </c>
      <c r="AA3">
        <v>3</v>
      </c>
      <c r="AB3">
        <v>1.56</v>
      </c>
      <c r="AC3" s="1">
        <f>(Z3*AA3)/(AB3*E3)</f>
        <v>0.3637735955531729</v>
      </c>
      <c r="AD3">
        <v>0.222</v>
      </c>
      <c r="AE3">
        <v>0.30499999999999999</v>
      </c>
      <c r="AF3">
        <v>100</v>
      </c>
      <c r="AG3" s="1">
        <f>(AD3/AE3)*AF3</f>
        <v>72.786885245901644</v>
      </c>
      <c r="AH3">
        <v>0.21099999999999999</v>
      </c>
      <c r="AI3">
        <v>1.355</v>
      </c>
      <c r="AJ3">
        <v>100</v>
      </c>
      <c r="AK3" s="1">
        <f>(AH3/AI3)*AJ3</f>
        <v>15.571955719557195</v>
      </c>
    </row>
    <row r="4" spans="1:37" x14ac:dyDescent="0.25">
      <c r="A4">
        <v>2</v>
      </c>
      <c r="B4">
        <v>4.5999999999999999E-2</v>
      </c>
      <c r="C4">
        <v>0.35099999999999998</v>
      </c>
      <c r="D4">
        <v>5.81</v>
      </c>
      <c r="E4" s="1">
        <f t="shared" ref="E4:E28" si="0">(B4/C4)*D4</f>
        <v>0.76142450142450135</v>
      </c>
      <c r="F4">
        <v>0.13200000000000001</v>
      </c>
      <c r="G4">
        <v>0.13300000000000001</v>
      </c>
      <c r="H4">
        <v>0.13400000000000001</v>
      </c>
      <c r="I4">
        <f t="shared" ref="I4:I28" si="1">(F4+G4+H4)/3</f>
        <v>0.13300000000000001</v>
      </c>
      <c r="J4">
        <v>2.1999999999999999E-2</v>
      </c>
      <c r="K4">
        <v>100</v>
      </c>
      <c r="L4">
        <f t="shared" ref="L4:L28" si="2">(I4-J4)/I4*K4</f>
        <v>83.458646616541358</v>
      </c>
      <c r="M4">
        <v>50</v>
      </c>
      <c r="N4" s="1">
        <f t="shared" ref="N4:N28" si="3">L4/(M4*E4)</f>
        <v>2.1921712910578477</v>
      </c>
      <c r="O4">
        <v>0.38900000000000001</v>
      </c>
      <c r="P4">
        <v>0.51200000000000001</v>
      </c>
      <c r="Q4">
        <v>0.53</v>
      </c>
      <c r="R4">
        <f t="shared" ref="R4:R28" si="4">(O4+P4+Q4)/3</f>
        <v>0.47700000000000004</v>
      </c>
      <c r="S4">
        <v>2.4</v>
      </c>
      <c r="T4">
        <v>4</v>
      </c>
      <c r="U4" s="1">
        <f t="shared" ref="U4:U28" si="5">(R4*S4)/(T4*E4)</f>
        <v>0.37587442939459709</v>
      </c>
      <c r="V4">
        <v>0.248</v>
      </c>
      <c r="W4">
        <v>1.84</v>
      </c>
      <c r="X4">
        <v>0.48</v>
      </c>
      <c r="Y4" s="1">
        <f t="shared" ref="Y4:Y28" si="6">(V4*W4)/(X4*E4)</f>
        <v>1.2485370051635114</v>
      </c>
      <c r="Z4">
        <v>0.109</v>
      </c>
      <c r="AA4">
        <v>3</v>
      </c>
      <c r="AB4">
        <v>1.56</v>
      </c>
      <c r="AC4" s="1">
        <f t="shared" ref="AC4:AC28" si="7">(Z4*AA4)/(AB4*E4)</f>
        <v>0.27529372146972991</v>
      </c>
      <c r="AD4">
        <v>0.223</v>
      </c>
      <c r="AE4">
        <v>0.30499999999999999</v>
      </c>
      <c r="AF4">
        <v>100</v>
      </c>
      <c r="AG4" s="1">
        <f t="shared" ref="AG4:AG28" si="8">(AD4/AE4)*AF4</f>
        <v>73.114754098360663</v>
      </c>
      <c r="AH4">
        <v>0.20899999999999999</v>
      </c>
      <c r="AI4">
        <v>1.355</v>
      </c>
      <c r="AJ4">
        <v>100</v>
      </c>
      <c r="AK4" s="1">
        <f t="shared" ref="AK4:AK28" si="9">(AH4/AI4)*AJ4</f>
        <v>15.424354243542435</v>
      </c>
    </row>
    <row r="5" spans="1:37" x14ac:dyDescent="0.25">
      <c r="A5">
        <v>3</v>
      </c>
      <c r="B5">
        <v>0.11600000000000001</v>
      </c>
      <c r="C5">
        <v>0.35099999999999998</v>
      </c>
      <c r="D5">
        <v>5.81</v>
      </c>
      <c r="E5" s="1">
        <f t="shared" si="0"/>
        <v>1.9201139601139601</v>
      </c>
      <c r="F5">
        <v>0.13800000000000001</v>
      </c>
      <c r="G5">
        <v>0.14699999999999999</v>
      </c>
      <c r="H5">
        <v>0.14699999999999999</v>
      </c>
      <c r="I5">
        <f t="shared" si="1"/>
        <v>0.14400000000000002</v>
      </c>
      <c r="J5">
        <v>2.1999999999999999E-2</v>
      </c>
      <c r="K5">
        <v>100</v>
      </c>
      <c r="L5">
        <f t="shared" si="2"/>
        <v>84.722222222222229</v>
      </c>
      <c r="M5">
        <v>50</v>
      </c>
      <c r="N5" s="1">
        <f t="shared" si="3"/>
        <v>0.88247076977862193</v>
      </c>
      <c r="O5">
        <v>0.92</v>
      </c>
      <c r="P5">
        <v>0.999</v>
      </c>
      <c r="Q5">
        <v>1.008</v>
      </c>
      <c r="R5">
        <f t="shared" si="4"/>
        <v>0.97566666666666668</v>
      </c>
      <c r="S5">
        <v>2.4</v>
      </c>
      <c r="T5">
        <v>4</v>
      </c>
      <c r="U5" s="1">
        <f t="shared" si="5"/>
        <v>0.30487773755119002</v>
      </c>
      <c r="V5">
        <v>0.32200000000000001</v>
      </c>
      <c r="W5">
        <v>1.84</v>
      </c>
      <c r="X5">
        <v>0.48</v>
      </c>
      <c r="Y5" s="1">
        <f t="shared" si="6"/>
        <v>0.64284378894889904</v>
      </c>
      <c r="Z5">
        <v>0.14099999999999999</v>
      </c>
      <c r="AA5">
        <v>3</v>
      </c>
      <c r="AB5">
        <v>1.56</v>
      </c>
      <c r="AC5" s="1">
        <f t="shared" si="7"/>
        <v>0.14121757967831916</v>
      </c>
      <c r="AD5">
        <v>0.219</v>
      </c>
      <c r="AE5">
        <v>0.30499999999999999</v>
      </c>
      <c r="AF5">
        <v>100</v>
      </c>
      <c r="AG5" s="1">
        <f t="shared" si="8"/>
        <v>71.8032786885246</v>
      </c>
      <c r="AH5">
        <v>0.20899999999999999</v>
      </c>
      <c r="AI5">
        <v>1.355</v>
      </c>
      <c r="AJ5">
        <v>100</v>
      </c>
      <c r="AK5" s="1">
        <f t="shared" si="9"/>
        <v>15.424354243542435</v>
      </c>
    </row>
    <row r="6" spans="1:37" x14ac:dyDescent="0.25">
      <c r="A6">
        <v>4</v>
      </c>
      <c r="B6">
        <v>7.3999999999999996E-2</v>
      </c>
      <c r="C6">
        <v>0.35099999999999998</v>
      </c>
      <c r="D6">
        <v>5.81</v>
      </c>
      <c r="E6" s="1">
        <f t="shared" si="0"/>
        <v>1.2249002849002848</v>
      </c>
      <c r="F6">
        <v>0.13300000000000001</v>
      </c>
      <c r="G6">
        <v>0.14199999999999999</v>
      </c>
      <c r="H6">
        <v>1.1419999999999999</v>
      </c>
      <c r="I6">
        <f t="shared" si="1"/>
        <v>0.47233333333333327</v>
      </c>
      <c r="J6">
        <v>2.1999999999999999E-2</v>
      </c>
      <c r="K6">
        <v>100</v>
      </c>
      <c r="L6">
        <f t="shared" si="2"/>
        <v>95.342272406492583</v>
      </c>
      <c r="M6">
        <v>50</v>
      </c>
      <c r="N6" s="1">
        <f t="shared" si="3"/>
        <v>1.5567352474614551</v>
      </c>
      <c r="O6">
        <v>0.98499999999999999</v>
      </c>
      <c r="P6">
        <v>1.034</v>
      </c>
      <c r="Q6">
        <v>1.038</v>
      </c>
      <c r="R6">
        <f t="shared" si="4"/>
        <v>1.0190000000000001</v>
      </c>
      <c r="S6">
        <v>2.4</v>
      </c>
      <c r="T6">
        <v>4</v>
      </c>
      <c r="U6" s="1">
        <f t="shared" si="5"/>
        <v>0.49914267107038202</v>
      </c>
      <c r="V6">
        <v>0.443</v>
      </c>
      <c r="W6">
        <v>1.84</v>
      </c>
      <c r="X6">
        <v>0.48</v>
      </c>
      <c r="Y6" s="1">
        <f t="shared" si="6"/>
        <v>1.3863713541424389</v>
      </c>
      <c r="Z6">
        <v>0.18</v>
      </c>
      <c r="AA6">
        <v>3</v>
      </c>
      <c r="AB6">
        <v>1.56</v>
      </c>
      <c r="AC6" s="1">
        <f t="shared" si="7"/>
        <v>0.28259757175419831</v>
      </c>
      <c r="AD6">
        <v>0.214</v>
      </c>
      <c r="AE6">
        <v>0.30499999999999999</v>
      </c>
      <c r="AF6">
        <v>100</v>
      </c>
      <c r="AG6" s="1">
        <f t="shared" si="8"/>
        <v>70.163934426229517</v>
      </c>
      <c r="AH6">
        <v>0.214</v>
      </c>
      <c r="AI6">
        <v>1.355</v>
      </c>
      <c r="AJ6">
        <v>100</v>
      </c>
      <c r="AK6" s="1">
        <f t="shared" si="9"/>
        <v>15.793357933579335</v>
      </c>
    </row>
    <row r="7" spans="1:37" x14ac:dyDescent="0.25">
      <c r="A7">
        <v>5</v>
      </c>
      <c r="B7">
        <v>7.6999999999999999E-2</v>
      </c>
      <c r="C7">
        <v>0.35099999999999998</v>
      </c>
      <c r="D7">
        <v>5.81</v>
      </c>
      <c r="E7" s="1">
        <f t="shared" si="0"/>
        <v>1.2745584045584044</v>
      </c>
      <c r="F7">
        <v>0.128</v>
      </c>
      <c r="G7">
        <v>0.13700000000000001</v>
      </c>
      <c r="H7">
        <v>0.13800000000000001</v>
      </c>
      <c r="I7">
        <f t="shared" si="1"/>
        <v>0.13433333333333333</v>
      </c>
      <c r="J7">
        <v>2.1999999999999999E-2</v>
      </c>
      <c r="K7">
        <v>100</v>
      </c>
      <c r="L7">
        <f t="shared" si="2"/>
        <v>83.622828784119108</v>
      </c>
      <c r="M7">
        <v>50</v>
      </c>
      <c r="N7" s="1">
        <f t="shared" si="3"/>
        <v>1.3121851220790759</v>
      </c>
      <c r="O7">
        <v>1.5209999999999999</v>
      </c>
      <c r="P7">
        <v>1.5589999999999999</v>
      </c>
      <c r="Q7">
        <v>1.569</v>
      </c>
      <c r="R7">
        <f t="shared" si="4"/>
        <v>1.5496666666666667</v>
      </c>
      <c r="S7">
        <v>2.4</v>
      </c>
      <c r="T7">
        <v>4</v>
      </c>
      <c r="U7" s="1">
        <f t="shared" si="5"/>
        <v>0.72950756644388315</v>
      </c>
      <c r="V7">
        <v>0.59699999999999998</v>
      </c>
      <c r="W7">
        <v>1.84</v>
      </c>
      <c r="X7">
        <v>0.48</v>
      </c>
      <c r="Y7" s="1">
        <f t="shared" si="6"/>
        <v>1.795523839327626</v>
      </c>
      <c r="Z7">
        <v>0.155</v>
      </c>
      <c r="AA7">
        <v>3</v>
      </c>
      <c r="AB7">
        <v>1.56</v>
      </c>
      <c r="AC7" s="1">
        <f t="shared" si="7"/>
        <v>0.23386682164651185</v>
      </c>
      <c r="AD7">
        <v>0.22</v>
      </c>
      <c r="AE7">
        <v>0.30499999999999999</v>
      </c>
      <c r="AF7">
        <v>100</v>
      </c>
      <c r="AG7" s="1">
        <f t="shared" si="8"/>
        <v>72.131147540983605</v>
      </c>
      <c r="AH7">
        <v>0.21</v>
      </c>
      <c r="AI7">
        <v>1.355</v>
      </c>
      <c r="AJ7">
        <v>100</v>
      </c>
      <c r="AK7" s="1">
        <f t="shared" si="9"/>
        <v>15.498154981549813</v>
      </c>
    </row>
    <row r="8" spans="1:37" x14ac:dyDescent="0.25">
      <c r="A8">
        <v>6</v>
      </c>
      <c r="B8">
        <v>6.5000000000000002E-2</v>
      </c>
      <c r="C8">
        <v>0.35099999999999998</v>
      </c>
      <c r="D8">
        <v>5.81</v>
      </c>
      <c r="E8" s="1">
        <f t="shared" si="0"/>
        <v>1.075925925925926</v>
      </c>
      <c r="F8">
        <v>0.13200000000000001</v>
      </c>
      <c r="G8">
        <v>0.122</v>
      </c>
      <c r="H8">
        <v>0.122</v>
      </c>
      <c r="I8">
        <f t="shared" si="1"/>
        <v>0.12533333333333332</v>
      </c>
      <c r="J8">
        <v>2.1999999999999999E-2</v>
      </c>
      <c r="K8">
        <v>100</v>
      </c>
      <c r="L8">
        <f t="shared" si="2"/>
        <v>82.446808510638306</v>
      </c>
      <c r="M8">
        <v>50</v>
      </c>
      <c r="N8" s="1">
        <f t="shared" si="3"/>
        <v>1.5325740652579927</v>
      </c>
      <c r="O8">
        <v>0.97799999999999998</v>
      </c>
      <c r="P8">
        <v>1.0209999999999999</v>
      </c>
      <c r="Q8">
        <v>1.0289999999999999</v>
      </c>
      <c r="R8">
        <f t="shared" si="4"/>
        <v>1.0093333333333332</v>
      </c>
      <c r="S8">
        <v>2.4</v>
      </c>
      <c r="T8">
        <v>4</v>
      </c>
      <c r="U8" s="1">
        <f t="shared" si="5"/>
        <v>0.56286402753872622</v>
      </c>
      <c r="V8">
        <v>0.505</v>
      </c>
      <c r="W8">
        <v>1.84</v>
      </c>
      <c r="X8">
        <v>0.48</v>
      </c>
      <c r="Y8" s="1">
        <f t="shared" si="6"/>
        <v>1.7992254733218587</v>
      </c>
      <c r="Z8">
        <v>0.156</v>
      </c>
      <c r="AA8">
        <v>3</v>
      </c>
      <c r="AB8">
        <v>1.56</v>
      </c>
      <c r="AC8" s="1">
        <f t="shared" si="7"/>
        <v>0.27882960413080893</v>
      </c>
      <c r="AD8">
        <v>0.215</v>
      </c>
      <c r="AE8">
        <v>0.30499999999999999</v>
      </c>
      <c r="AF8">
        <v>100</v>
      </c>
      <c r="AG8" s="1">
        <f t="shared" si="8"/>
        <v>70.491803278688522</v>
      </c>
      <c r="AH8">
        <v>0.20499999999999999</v>
      </c>
      <c r="AI8">
        <v>1.355</v>
      </c>
      <c r="AJ8">
        <v>100</v>
      </c>
      <c r="AK8" s="1">
        <f t="shared" si="9"/>
        <v>15.129151291512915</v>
      </c>
    </row>
    <row r="9" spans="1:37" x14ac:dyDescent="0.25">
      <c r="A9">
        <v>7</v>
      </c>
      <c r="B9">
        <v>7.8E-2</v>
      </c>
      <c r="C9">
        <v>0.35099999999999998</v>
      </c>
      <c r="D9">
        <v>5.81</v>
      </c>
      <c r="E9" s="1">
        <f t="shared" si="0"/>
        <v>1.2911111111111111</v>
      </c>
      <c r="F9">
        <v>0.17299999999999999</v>
      </c>
      <c r="G9">
        <v>0.20100000000000001</v>
      </c>
      <c r="H9">
        <v>0.2</v>
      </c>
      <c r="I9">
        <f t="shared" si="1"/>
        <v>0.19133333333333336</v>
      </c>
      <c r="J9">
        <v>2.1999999999999999E-2</v>
      </c>
      <c r="K9">
        <v>100</v>
      </c>
      <c r="L9">
        <f t="shared" si="2"/>
        <v>88.501742160278752</v>
      </c>
      <c r="M9">
        <v>50</v>
      </c>
      <c r="N9" s="1">
        <f t="shared" si="3"/>
        <v>1.3709392073020805</v>
      </c>
      <c r="O9">
        <v>1.2</v>
      </c>
      <c r="P9">
        <v>1.2410000000000001</v>
      </c>
      <c r="Q9">
        <v>1.242</v>
      </c>
      <c r="R9">
        <f t="shared" si="4"/>
        <v>1.2276666666666667</v>
      </c>
      <c r="S9">
        <v>2.4</v>
      </c>
      <c r="T9">
        <v>4</v>
      </c>
      <c r="U9" s="1">
        <f t="shared" si="5"/>
        <v>0.57051635111876076</v>
      </c>
      <c r="V9">
        <v>0.50900000000000001</v>
      </c>
      <c r="W9">
        <v>1.84</v>
      </c>
      <c r="X9">
        <v>0.48</v>
      </c>
      <c r="Y9" s="1">
        <f t="shared" si="6"/>
        <v>1.5112306368330466</v>
      </c>
      <c r="Z9">
        <v>0.27400000000000002</v>
      </c>
      <c r="AA9">
        <v>3</v>
      </c>
      <c r="AB9">
        <v>1.56</v>
      </c>
      <c r="AC9" s="1">
        <f t="shared" si="7"/>
        <v>0.40811598040513702</v>
      </c>
      <c r="AD9">
        <v>0.219</v>
      </c>
      <c r="AE9">
        <v>0.30499999999999999</v>
      </c>
      <c r="AF9">
        <v>100</v>
      </c>
      <c r="AG9" s="1">
        <f t="shared" si="8"/>
        <v>71.8032786885246</v>
      </c>
      <c r="AH9">
        <v>0.24299999999999999</v>
      </c>
      <c r="AI9">
        <v>1.355</v>
      </c>
      <c r="AJ9">
        <v>100</v>
      </c>
      <c r="AK9" s="1">
        <f t="shared" si="9"/>
        <v>17.933579335793358</v>
      </c>
    </row>
    <row r="10" spans="1:37" x14ac:dyDescent="0.25">
      <c r="A10">
        <v>8</v>
      </c>
      <c r="B10">
        <v>7.9000000000000001E-2</v>
      </c>
      <c r="C10">
        <v>0.35099999999999998</v>
      </c>
      <c r="D10">
        <v>5.81</v>
      </c>
      <c r="E10" s="1">
        <f t="shared" si="0"/>
        <v>1.3076638176638178</v>
      </c>
      <c r="F10">
        <v>0.16400000000000001</v>
      </c>
      <c r="G10">
        <v>0.161</v>
      </c>
      <c r="H10">
        <v>0.17399999999999999</v>
      </c>
      <c r="I10">
        <f t="shared" si="1"/>
        <v>0.16633333333333333</v>
      </c>
      <c r="J10">
        <v>2.1999999999999999E-2</v>
      </c>
      <c r="K10">
        <v>100</v>
      </c>
      <c r="L10">
        <f t="shared" si="2"/>
        <v>86.773547094188388</v>
      </c>
      <c r="M10">
        <v>50</v>
      </c>
      <c r="N10" s="1">
        <f t="shared" si="3"/>
        <v>1.3271537519362129</v>
      </c>
      <c r="O10">
        <v>0.82799999999999996</v>
      </c>
      <c r="P10">
        <v>0.83499999999999996</v>
      </c>
      <c r="Q10">
        <v>0.82499999999999996</v>
      </c>
      <c r="R10">
        <f t="shared" si="4"/>
        <v>0.82933333333333314</v>
      </c>
      <c r="S10">
        <v>2.4</v>
      </c>
      <c r="T10">
        <v>4</v>
      </c>
      <c r="U10" s="1">
        <f t="shared" si="5"/>
        <v>0.38052593738425661</v>
      </c>
      <c r="V10">
        <v>0.44500000000000001</v>
      </c>
      <c r="W10">
        <v>1.84</v>
      </c>
      <c r="X10">
        <v>0.48</v>
      </c>
      <c r="Y10" s="1">
        <f>(V10*W10)/(X10*E10)</f>
        <v>1.3044892045578336</v>
      </c>
      <c r="Z10">
        <v>0.19800000000000001</v>
      </c>
      <c r="AA10">
        <v>3</v>
      </c>
      <c r="AB10">
        <v>1.56</v>
      </c>
      <c r="AC10" s="1">
        <f t="shared" si="7"/>
        <v>0.29118281444040178</v>
      </c>
      <c r="AD10">
        <v>0.21199999999999999</v>
      </c>
      <c r="AE10">
        <v>0.30499999999999999</v>
      </c>
      <c r="AF10">
        <v>100</v>
      </c>
      <c r="AG10" s="1">
        <f t="shared" si="8"/>
        <v>69.508196721311478</v>
      </c>
      <c r="AH10">
        <v>0.219</v>
      </c>
      <c r="AI10">
        <v>1.355</v>
      </c>
      <c r="AJ10">
        <v>100</v>
      </c>
      <c r="AK10" s="1">
        <f t="shared" si="9"/>
        <v>16.162361623616235</v>
      </c>
    </row>
    <row r="11" spans="1:37" x14ac:dyDescent="0.25">
      <c r="A11">
        <v>9</v>
      </c>
      <c r="B11">
        <v>5.8000000000000003E-2</v>
      </c>
      <c r="C11">
        <v>0.35099999999999998</v>
      </c>
      <c r="D11">
        <v>5.81</v>
      </c>
      <c r="E11" s="1">
        <f t="shared" si="0"/>
        <v>0.96005698005698004</v>
      </c>
      <c r="F11">
        <v>0.14099999999999999</v>
      </c>
      <c r="G11">
        <v>0.17100000000000001</v>
      </c>
      <c r="H11">
        <v>0.17299999999999999</v>
      </c>
      <c r="I11">
        <f t="shared" si="1"/>
        <v>0.16166666666666665</v>
      </c>
      <c r="J11">
        <v>2.1999999999999999E-2</v>
      </c>
      <c r="K11">
        <v>100</v>
      </c>
      <c r="L11">
        <f t="shared" si="2"/>
        <v>86.391752577319593</v>
      </c>
      <c r="M11">
        <v>50</v>
      </c>
      <c r="N11" s="1">
        <f t="shared" si="3"/>
        <v>1.799721357625923</v>
      </c>
      <c r="O11">
        <v>0.39200000000000002</v>
      </c>
      <c r="P11">
        <v>0.45700000000000002</v>
      </c>
      <c r="Q11">
        <v>0.47</v>
      </c>
      <c r="R11">
        <f t="shared" si="4"/>
        <v>0.43966666666666665</v>
      </c>
      <c r="S11">
        <v>2.4</v>
      </c>
      <c r="T11">
        <v>4</v>
      </c>
      <c r="U11" s="1">
        <f t="shared" si="5"/>
        <v>0.27477535758798738</v>
      </c>
      <c r="V11">
        <v>0.52800000000000002</v>
      </c>
      <c r="W11">
        <v>1.84</v>
      </c>
      <c r="X11">
        <v>0.48</v>
      </c>
      <c r="Y11" s="1">
        <f t="shared" si="6"/>
        <v>2.1082082022671971</v>
      </c>
      <c r="Z11">
        <v>8.5999999999999993E-2</v>
      </c>
      <c r="AA11">
        <v>3</v>
      </c>
      <c r="AB11">
        <v>1.56</v>
      </c>
      <c r="AC11" s="1">
        <f t="shared" si="7"/>
        <v>0.17226541634518369</v>
      </c>
      <c r="AD11">
        <v>0.219</v>
      </c>
      <c r="AE11">
        <v>0.30499999999999999</v>
      </c>
      <c r="AF11">
        <v>100</v>
      </c>
      <c r="AG11" s="1">
        <f t="shared" si="8"/>
        <v>71.8032786885246</v>
      </c>
      <c r="AH11">
        <v>0.315</v>
      </c>
      <c r="AI11">
        <v>1.355</v>
      </c>
      <c r="AJ11">
        <v>100</v>
      </c>
      <c r="AK11" s="1">
        <f t="shared" si="9"/>
        <v>23.247232472324725</v>
      </c>
    </row>
    <row r="12" spans="1:37" x14ac:dyDescent="0.25">
      <c r="A12">
        <v>10</v>
      </c>
      <c r="B12">
        <v>0.09</v>
      </c>
      <c r="C12">
        <v>0.35099999999999998</v>
      </c>
      <c r="D12">
        <v>5.81</v>
      </c>
      <c r="E12" s="1">
        <f t="shared" si="0"/>
        <v>1.4897435897435898</v>
      </c>
      <c r="F12">
        <v>0.13900000000000001</v>
      </c>
      <c r="G12">
        <v>0.161</v>
      </c>
      <c r="H12">
        <v>0.15</v>
      </c>
      <c r="I12">
        <f t="shared" si="1"/>
        <v>0.15000000000000002</v>
      </c>
      <c r="J12">
        <v>2.1999999999999999E-2</v>
      </c>
      <c r="K12">
        <v>100</v>
      </c>
      <c r="L12">
        <f t="shared" si="2"/>
        <v>85.333333333333343</v>
      </c>
      <c r="M12">
        <v>50</v>
      </c>
      <c r="N12" s="1">
        <f t="shared" si="3"/>
        <v>1.1456110154905337</v>
      </c>
      <c r="O12">
        <v>0.83599999999999997</v>
      </c>
      <c r="P12">
        <v>0.90800000000000003</v>
      </c>
      <c r="Q12">
        <v>0.91200000000000003</v>
      </c>
      <c r="R12">
        <f t="shared" si="4"/>
        <v>0.88533333333333342</v>
      </c>
      <c r="S12">
        <v>2.4</v>
      </c>
      <c r="T12">
        <v>4</v>
      </c>
      <c r="U12" s="1">
        <f t="shared" si="5"/>
        <v>0.35657142857142854</v>
      </c>
      <c r="V12">
        <v>0.45500000000000002</v>
      </c>
      <c r="W12">
        <v>1.84</v>
      </c>
      <c r="X12">
        <v>0.48</v>
      </c>
      <c r="Y12" s="1">
        <f t="shared" si="6"/>
        <v>1.1707831325301206</v>
      </c>
      <c r="Z12">
        <v>0.12</v>
      </c>
      <c r="AA12">
        <v>3</v>
      </c>
      <c r="AB12">
        <v>1.56</v>
      </c>
      <c r="AC12" s="1">
        <f t="shared" si="7"/>
        <v>0.15490533562822717</v>
      </c>
      <c r="AD12">
        <v>0.214</v>
      </c>
      <c r="AE12">
        <v>0.30499999999999999</v>
      </c>
      <c r="AF12">
        <v>100</v>
      </c>
      <c r="AG12" s="1">
        <f t="shared" si="8"/>
        <v>70.163934426229517</v>
      </c>
      <c r="AH12">
        <v>0.22700000000000001</v>
      </c>
      <c r="AI12">
        <v>1.355</v>
      </c>
      <c r="AJ12">
        <v>100</v>
      </c>
      <c r="AK12" s="1">
        <f t="shared" si="9"/>
        <v>16.752767527675278</v>
      </c>
    </row>
    <row r="13" spans="1:37" x14ac:dyDescent="0.25">
      <c r="A13">
        <v>11</v>
      </c>
      <c r="B13">
        <v>5.8000000000000003E-2</v>
      </c>
      <c r="C13">
        <v>0.35099999999999998</v>
      </c>
      <c r="D13">
        <v>5.81</v>
      </c>
      <c r="E13" s="1">
        <f t="shared" si="0"/>
        <v>0.96005698005698004</v>
      </c>
      <c r="F13">
        <v>0.13800000000000001</v>
      </c>
      <c r="G13">
        <v>0.188</v>
      </c>
      <c r="H13">
        <v>0.19700000000000001</v>
      </c>
      <c r="I13">
        <f t="shared" si="1"/>
        <v>0.17433333333333334</v>
      </c>
      <c r="J13">
        <v>2.1999999999999999E-2</v>
      </c>
      <c r="K13">
        <v>100</v>
      </c>
      <c r="L13">
        <f t="shared" si="2"/>
        <v>87.380497131931165</v>
      </c>
      <c r="M13">
        <v>50</v>
      </c>
      <c r="N13" s="1">
        <f t="shared" si="3"/>
        <v>1.8203189799577326</v>
      </c>
      <c r="O13">
        <v>1.246</v>
      </c>
      <c r="P13">
        <v>1.2749999999999999</v>
      </c>
      <c r="Q13">
        <v>1.2809999999999999</v>
      </c>
      <c r="R13">
        <f t="shared" si="4"/>
        <v>1.2673333333333332</v>
      </c>
      <c r="S13">
        <v>2.4</v>
      </c>
      <c r="T13">
        <v>4</v>
      </c>
      <c r="U13" s="1">
        <f t="shared" si="5"/>
        <v>0.79203632263042301</v>
      </c>
      <c r="V13">
        <v>0.51700000000000002</v>
      </c>
      <c r="W13">
        <v>1.84</v>
      </c>
      <c r="X13">
        <v>0.48</v>
      </c>
      <c r="Y13" s="1">
        <f t="shared" si="6"/>
        <v>2.0642871980532971</v>
      </c>
      <c r="Z13">
        <v>0.19500000000000001</v>
      </c>
      <c r="AA13">
        <v>3</v>
      </c>
      <c r="AB13">
        <v>1.56</v>
      </c>
      <c r="AC13" s="1">
        <f t="shared" si="7"/>
        <v>0.39060181613152112</v>
      </c>
      <c r="AD13">
        <v>0.219</v>
      </c>
      <c r="AE13">
        <v>0.30499999999999999</v>
      </c>
      <c r="AF13">
        <v>100</v>
      </c>
      <c r="AG13" s="1">
        <f t="shared" si="8"/>
        <v>71.8032786885246</v>
      </c>
      <c r="AH13">
        <v>0.219</v>
      </c>
      <c r="AI13">
        <v>1.355</v>
      </c>
      <c r="AJ13">
        <v>100</v>
      </c>
      <c r="AK13" s="1">
        <f t="shared" si="9"/>
        <v>16.162361623616235</v>
      </c>
    </row>
    <row r="14" spans="1:37" x14ac:dyDescent="0.25">
      <c r="A14">
        <v>12</v>
      </c>
      <c r="B14">
        <v>6.4000000000000001E-2</v>
      </c>
      <c r="C14">
        <v>0.35099999999999998</v>
      </c>
      <c r="D14">
        <v>5.81</v>
      </c>
      <c r="E14" s="1">
        <f t="shared" si="0"/>
        <v>1.0593732193732193</v>
      </c>
      <c r="F14">
        <v>0.13700000000000001</v>
      </c>
      <c r="G14">
        <v>0.20899999999999999</v>
      </c>
      <c r="H14">
        <v>0.222</v>
      </c>
      <c r="I14">
        <f t="shared" si="1"/>
        <v>0.18933333333333333</v>
      </c>
      <c r="J14">
        <v>2.1999999999999999E-2</v>
      </c>
      <c r="K14">
        <v>100</v>
      </c>
      <c r="L14">
        <f t="shared" si="2"/>
        <v>88.380281690140848</v>
      </c>
      <c r="M14">
        <v>50</v>
      </c>
      <c r="N14" s="1">
        <f t="shared" si="3"/>
        <v>1.6685390960219149</v>
      </c>
      <c r="O14">
        <v>0.91600000000000004</v>
      </c>
      <c r="P14">
        <v>0.94</v>
      </c>
      <c r="Q14">
        <v>0.95</v>
      </c>
      <c r="R14">
        <f t="shared" si="4"/>
        <v>0.93533333333333335</v>
      </c>
      <c r="S14">
        <v>2.4</v>
      </c>
      <c r="T14">
        <v>4</v>
      </c>
      <c r="U14" s="1">
        <f t="shared" si="5"/>
        <v>0.52974720309810674</v>
      </c>
      <c r="V14">
        <v>0.39800000000000002</v>
      </c>
      <c r="W14">
        <v>1.84</v>
      </c>
      <c r="X14">
        <v>0.48</v>
      </c>
      <c r="Y14" s="1">
        <f t="shared" si="6"/>
        <v>1.440159746127367</v>
      </c>
      <c r="Z14">
        <v>0.122</v>
      </c>
      <c r="AA14">
        <v>3</v>
      </c>
      <c r="AB14">
        <v>1.56</v>
      </c>
      <c r="AC14" s="1">
        <f t="shared" si="7"/>
        <v>0.22146622203098107</v>
      </c>
      <c r="AD14">
        <v>0.214</v>
      </c>
      <c r="AE14">
        <v>0.30499999999999999</v>
      </c>
      <c r="AF14">
        <v>100</v>
      </c>
      <c r="AG14" s="1">
        <f t="shared" si="8"/>
        <v>70.163934426229517</v>
      </c>
      <c r="AH14">
        <v>0.20200000000000001</v>
      </c>
      <c r="AI14">
        <v>1.355</v>
      </c>
      <c r="AJ14">
        <v>100</v>
      </c>
      <c r="AK14" s="1">
        <f t="shared" si="9"/>
        <v>14.907749077490775</v>
      </c>
    </row>
    <row r="15" spans="1:37" x14ac:dyDescent="0.25">
      <c r="A15">
        <v>13</v>
      </c>
      <c r="B15">
        <v>5.1999999999999998E-2</v>
      </c>
      <c r="C15">
        <v>0.35099999999999998</v>
      </c>
      <c r="D15">
        <v>5.81</v>
      </c>
      <c r="E15" s="1">
        <f t="shared" si="0"/>
        <v>0.86074074074074058</v>
      </c>
      <c r="F15">
        <v>0.14599999999999999</v>
      </c>
      <c r="G15">
        <v>0.245</v>
      </c>
      <c r="H15">
        <v>0.251</v>
      </c>
      <c r="I15">
        <f t="shared" si="1"/>
        <v>0.214</v>
      </c>
      <c r="J15">
        <v>2.1999999999999999E-2</v>
      </c>
      <c r="K15">
        <v>100</v>
      </c>
      <c r="L15">
        <f t="shared" si="2"/>
        <v>89.719626168224295</v>
      </c>
      <c r="M15">
        <v>50</v>
      </c>
      <c r="N15" s="1">
        <f t="shared" si="3"/>
        <v>2.0847073206041791</v>
      </c>
      <c r="O15">
        <v>0.96799999999999997</v>
      </c>
      <c r="P15">
        <v>1.012</v>
      </c>
      <c r="Q15">
        <v>1.0429999999999999</v>
      </c>
      <c r="R15">
        <f t="shared" si="4"/>
        <v>1.0076666666666665</v>
      </c>
      <c r="S15">
        <v>2.4</v>
      </c>
      <c r="T15">
        <v>4</v>
      </c>
      <c r="U15" s="1">
        <f t="shared" si="5"/>
        <v>0.70241824440619627</v>
      </c>
      <c r="V15">
        <v>0.38500000000000001</v>
      </c>
      <c r="W15">
        <v>1.84</v>
      </c>
      <c r="X15">
        <v>0.48</v>
      </c>
      <c r="Y15" s="1">
        <f t="shared" si="6"/>
        <v>1.7146084337349403</v>
      </c>
      <c r="Z15">
        <v>0.126</v>
      </c>
      <c r="AA15">
        <v>3</v>
      </c>
      <c r="AB15">
        <v>1.56</v>
      </c>
      <c r="AC15" s="1">
        <f t="shared" si="7"/>
        <v>0.28151065801668218</v>
      </c>
      <c r="AD15">
        <v>0.1</v>
      </c>
      <c r="AE15">
        <v>0.30499999999999999</v>
      </c>
      <c r="AF15">
        <v>100</v>
      </c>
      <c r="AG15" s="1">
        <f t="shared" si="8"/>
        <v>32.786885245901644</v>
      </c>
      <c r="AH15">
        <v>0.41899999999999998</v>
      </c>
      <c r="AI15">
        <v>1.355</v>
      </c>
      <c r="AJ15">
        <v>100</v>
      </c>
      <c r="AK15" s="1">
        <f t="shared" si="9"/>
        <v>30.922509225092249</v>
      </c>
    </row>
    <row r="16" spans="1:37" x14ac:dyDescent="0.25">
      <c r="A16">
        <v>14</v>
      </c>
      <c r="B16">
        <v>6.3E-2</v>
      </c>
      <c r="C16">
        <v>0.35099999999999998</v>
      </c>
      <c r="D16">
        <v>5.81</v>
      </c>
      <c r="E16" s="1">
        <f t="shared" si="0"/>
        <v>1.0428205128205128</v>
      </c>
      <c r="F16">
        <v>0.23699999999999999</v>
      </c>
      <c r="G16">
        <v>0.28299999999999997</v>
      </c>
      <c r="H16">
        <v>0.28399999999999997</v>
      </c>
      <c r="I16">
        <f t="shared" si="1"/>
        <v>0.26800000000000002</v>
      </c>
      <c r="J16">
        <v>2.1999999999999999E-2</v>
      </c>
      <c r="K16">
        <v>100</v>
      </c>
      <c r="L16">
        <f t="shared" si="2"/>
        <v>91.791044776119406</v>
      </c>
      <c r="M16">
        <v>50</v>
      </c>
      <c r="N16" s="1">
        <f t="shared" si="3"/>
        <v>1.7604380360308123</v>
      </c>
      <c r="O16">
        <v>1.206</v>
      </c>
      <c r="P16">
        <v>1.2490000000000001</v>
      </c>
      <c r="Q16">
        <v>1.2649999999999999</v>
      </c>
      <c r="R16">
        <f t="shared" si="4"/>
        <v>1.24</v>
      </c>
      <c r="S16">
        <v>2.4</v>
      </c>
      <c r="T16">
        <v>4</v>
      </c>
      <c r="U16" s="1">
        <f t="shared" si="5"/>
        <v>0.71344971723629214</v>
      </c>
      <c r="V16">
        <v>0.52200000000000002</v>
      </c>
      <c r="W16">
        <v>1.84</v>
      </c>
      <c r="X16">
        <v>0.48</v>
      </c>
      <c r="Y16" s="1">
        <f t="shared" si="6"/>
        <v>1.9188345217605118</v>
      </c>
      <c r="Z16">
        <v>0.152</v>
      </c>
      <c r="AA16">
        <v>3</v>
      </c>
      <c r="AB16">
        <v>1.56</v>
      </c>
      <c r="AC16" s="1">
        <f t="shared" si="7"/>
        <v>0.28030489304155393</v>
      </c>
      <c r="AD16">
        <v>0.21099999999999999</v>
      </c>
      <c r="AE16">
        <v>0.30499999999999999</v>
      </c>
      <c r="AF16">
        <v>100</v>
      </c>
      <c r="AG16" s="1">
        <f t="shared" si="8"/>
        <v>69.180327868852459</v>
      </c>
      <c r="AH16">
        <v>0.20300000000000001</v>
      </c>
      <c r="AI16">
        <v>1.355</v>
      </c>
      <c r="AJ16">
        <v>100</v>
      </c>
      <c r="AK16" s="1">
        <f t="shared" si="9"/>
        <v>14.981549815498157</v>
      </c>
    </row>
    <row r="17" spans="1:37" x14ac:dyDescent="0.25">
      <c r="A17">
        <v>15</v>
      </c>
      <c r="B17">
        <v>6.2E-2</v>
      </c>
      <c r="C17">
        <v>0.35099999999999998</v>
      </c>
      <c r="D17">
        <v>5.81</v>
      </c>
      <c r="E17" s="1">
        <f t="shared" si="0"/>
        <v>1.0262678062678063</v>
      </c>
      <c r="F17">
        <v>0.24299999999999999</v>
      </c>
      <c r="G17">
        <v>0.28699999999999998</v>
      </c>
      <c r="H17">
        <v>0.29199999999999998</v>
      </c>
      <c r="I17">
        <f t="shared" si="1"/>
        <v>0.27400000000000002</v>
      </c>
      <c r="J17">
        <v>2.1999999999999999E-2</v>
      </c>
      <c r="K17">
        <v>100</v>
      </c>
      <c r="L17">
        <f t="shared" si="2"/>
        <v>91.970802919708035</v>
      </c>
      <c r="M17">
        <v>50</v>
      </c>
      <c r="N17" s="1">
        <f t="shared" si="3"/>
        <v>1.7923353408926501</v>
      </c>
      <c r="O17">
        <v>0.91800000000000004</v>
      </c>
      <c r="P17">
        <v>0.96399999999999997</v>
      </c>
      <c r="Q17">
        <v>0.99199999999999999</v>
      </c>
      <c r="R17">
        <f t="shared" si="4"/>
        <v>0.95800000000000007</v>
      </c>
      <c r="S17">
        <v>2.4</v>
      </c>
      <c r="T17">
        <v>4</v>
      </c>
      <c r="U17" s="1">
        <f t="shared" si="5"/>
        <v>0.56008772416856356</v>
      </c>
      <c r="V17">
        <v>0.56699999999999995</v>
      </c>
      <c r="W17">
        <v>1.84</v>
      </c>
      <c r="X17">
        <v>0.48</v>
      </c>
      <c r="Y17" s="1">
        <f t="shared" si="6"/>
        <v>2.1178682471822774</v>
      </c>
      <c r="Z17">
        <v>0.108</v>
      </c>
      <c r="AA17">
        <v>3</v>
      </c>
      <c r="AB17">
        <v>1.56</v>
      </c>
      <c r="AC17" s="1">
        <f t="shared" si="7"/>
        <v>0.20237632557881294</v>
      </c>
      <c r="AD17">
        <v>0.21199999999999999</v>
      </c>
      <c r="AE17">
        <v>0.30499999999999999</v>
      </c>
      <c r="AF17">
        <v>100</v>
      </c>
      <c r="AG17" s="1">
        <f t="shared" si="8"/>
        <v>69.508196721311478</v>
      </c>
      <c r="AH17">
        <v>0.32100000000000001</v>
      </c>
      <c r="AI17">
        <v>1.355</v>
      </c>
      <c r="AJ17">
        <v>100</v>
      </c>
      <c r="AK17" s="1">
        <f t="shared" si="9"/>
        <v>23.690036900369005</v>
      </c>
    </row>
    <row r="18" spans="1:37" x14ac:dyDescent="0.25">
      <c r="A18" t="s">
        <v>33</v>
      </c>
      <c r="B18">
        <v>9.8000000000000004E-2</v>
      </c>
      <c r="C18">
        <v>0.35099999999999998</v>
      </c>
      <c r="D18">
        <v>5.81</v>
      </c>
      <c r="E18" s="1">
        <f t="shared" si="0"/>
        <v>1.6221652421652424</v>
      </c>
      <c r="F18">
        <v>0.27800000000000002</v>
      </c>
      <c r="G18">
        <v>0.317</v>
      </c>
      <c r="H18">
        <v>0.317</v>
      </c>
      <c r="I18">
        <f t="shared" si="1"/>
        <v>0.30399999999999999</v>
      </c>
      <c r="J18">
        <v>2.1999999999999999E-2</v>
      </c>
      <c r="K18">
        <v>100</v>
      </c>
      <c r="L18">
        <f t="shared" si="2"/>
        <v>92.763157894736835</v>
      </c>
      <c r="M18">
        <v>50</v>
      </c>
      <c r="N18" s="1">
        <f t="shared" si="3"/>
        <v>1.1436955432594269</v>
      </c>
      <c r="O18">
        <v>0.84899999999999998</v>
      </c>
      <c r="P18">
        <v>0.88200000000000001</v>
      </c>
      <c r="Q18">
        <v>0.88500000000000001</v>
      </c>
      <c r="R18">
        <f t="shared" si="4"/>
        <v>0.87199999999999989</v>
      </c>
      <c r="S18">
        <v>2.4</v>
      </c>
      <c r="T18">
        <v>4</v>
      </c>
      <c r="U18" s="1">
        <f t="shared" si="5"/>
        <v>0.3225318767782499</v>
      </c>
      <c r="V18">
        <v>0.44800000000000001</v>
      </c>
      <c r="W18">
        <v>1.84</v>
      </c>
      <c r="X18">
        <v>0.48</v>
      </c>
      <c r="Y18" s="1">
        <f t="shared" si="6"/>
        <v>1.0586673223506269</v>
      </c>
      <c r="Z18">
        <v>0.11899999999999999</v>
      </c>
      <c r="AA18">
        <v>3</v>
      </c>
      <c r="AB18">
        <v>1.56</v>
      </c>
      <c r="AC18" s="1">
        <f t="shared" si="7"/>
        <v>0.14107450208999259</v>
      </c>
      <c r="AD18">
        <v>0.216</v>
      </c>
      <c r="AE18">
        <v>0.30499999999999999</v>
      </c>
      <c r="AF18">
        <v>100</v>
      </c>
      <c r="AG18" s="1">
        <f t="shared" si="8"/>
        <v>70.819672131147541</v>
      </c>
      <c r="AH18">
        <v>0.23100000000000001</v>
      </c>
      <c r="AI18">
        <v>1.355</v>
      </c>
      <c r="AJ18">
        <v>100</v>
      </c>
      <c r="AK18" s="1">
        <f t="shared" si="9"/>
        <v>17.047970479704798</v>
      </c>
    </row>
    <row r="19" spans="1:37" x14ac:dyDescent="0.25">
      <c r="A19">
        <v>2</v>
      </c>
      <c r="B19">
        <v>6.9000000000000006E-2</v>
      </c>
      <c r="C19">
        <v>0.35099999999999998</v>
      </c>
      <c r="D19">
        <v>5.81</v>
      </c>
      <c r="E19" s="1">
        <f t="shared" si="0"/>
        <v>1.1421367521367523</v>
      </c>
      <c r="F19">
        <v>0.28999999999999998</v>
      </c>
      <c r="G19">
        <v>0.314</v>
      </c>
      <c r="H19">
        <v>0.311</v>
      </c>
      <c r="I19">
        <f t="shared" si="1"/>
        <v>0.30499999999999999</v>
      </c>
      <c r="J19">
        <v>2.1999999999999999E-2</v>
      </c>
      <c r="K19">
        <v>100</v>
      </c>
      <c r="L19">
        <f t="shared" si="2"/>
        <v>92.78688524590163</v>
      </c>
      <c r="M19">
        <v>50</v>
      </c>
      <c r="N19" s="1">
        <f t="shared" si="3"/>
        <v>1.6247946679294303</v>
      </c>
      <c r="O19">
        <v>1.48</v>
      </c>
      <c r="P19">
        <v>1.5</v>
      </c>
      <c r="Q19">
        <v>1.502</v>
      </c>
      <c r="R19">
        <f t="shared" si="4"/>
        <v>1.494</v>
      </c>
      <c r="S19">
        <v>2.4</v>
      </c>
      <c r="T19">
        <v>4</v>
      </c>
      <c r="U19" s="1">
        <f t="shared" si="5"/>
        <v>0.78484472049689435</v>
      </c>
      <c r="V19">
        <v>0.57099999999999995</v>
      </c>
      <c r="W19">
        <v>1.84</v>
      </c>
      <c r="X19">
        <v>0.48</v>
      </c>
      <c r="Y19" s="1">
        <f t="shared" si="6"/>
        <v>1.9164371772805506</v>
      </c>
      <c r="Z19">
        <v>0.14899999999999999</v>
      </c>
      <c r="AA19">
        <v>3</v>
      </c>
      <c r="AB19">
        <v>1.56</v>
      </c>
      <c r="AC19" s="1">
        <f t="shared" si="7"/>
        <v>0.25087929357180266</v>
      </c>
      <c r="AD19">
        <v>0.21</v>
      </c>
      <c r="AE19">
        <v>0.30499999999999999</v>
      </c>
      <c r="AF19">
        <v>100</v>
      </c>
      <c r="AG19" s="1">
        <f t="shared" si="8"/>
        <v>68.852459016393439</v>
      </c>
      <c r="AH19">
        <v>0.20499999999999999</v>
      </c>
      <c r="AI19">
        <v>1.355</v>
      </c>
      <c r="AJ19">
        <v>100</v>
      </c>
      <c r="AK19" s="1">
        <f t="shared" si="9"/>
        <v>15.129151291512915</v>
      </c>
    </row>
    <row r="20" spans="1:37" x14ac:dyDescent="0.25">
      <c r="A20">
        <v>4</v>
      </c>
      <c r="B20">
        <v>6.8000000000000005E-2</v>
      </c>
      <c r="C20">
        <v>0.35099999999999998</v>
      </c>
      <c r="D20">
        <v>5.81</v>
      </c>
      <c r="E20" s="1">
        <f t="shared" si="0"/>
        <v>1.1255840455840456</v>
      </c>
      <c r="F20">
        <v>0.27900000000000003</v>
      </c>
      <c r="G20">
        <v>0.30499999999999999</v>
      </c>
      <c r="H20">
        <v>0.30099999999999999</v>
      </c>
      <c r="I20">
        <f t="shared" si="1"/>
        <v>0.29499999999999998</v>
      </c>
      <c r="J20">
        <v>2.1999999999999999E-2</v>
      </c>
      <c r="K20">
        <v>100</v>
      </c>
      <c r="L20">
        <f t="shared" si="2"/>
        <v>92.542372881355931</v>
      </c>
      <c r="M20">
        <v>50</v>
      </c>
      <c r="N20" s="1">
        <f t="shared" si="3"/>
        <v>1.6443440762051196</v>
      </c>
      <c r="O20">
        <v>1.3759999999999999</v>
      </c>
      <c r="P20">
        <v>1.381</v>
      </c>
      <c r="Q20">
        <v>1.385</v>
      </c>
      <c r="R20">
        <f t="shared" si="4"/>
        <v>1.3806666666666665</v>
      </c>
      <c r="S20">
        <v>2.4</v>
      </c>
      <c r="T20">
        <v>4</v>
      </c>
      <c r="U20" s="1">
        <f t="shared" si="5"/>
        <v>0.73597347372684008</v>
      </c>
      <c r="V20">
        <v>0.54300000000000004</v>
      </c>
      <c r="W20">
        <v>1.84</v>
      </c>
      <c r="X20">
        <v>0.48</v>
      </c>
      <c r="Y20" s="1">
        <f t="shared" si="6"/>
        <v>1.849262174749418</v>
      </c>
      <c r="Z20">
        <v>0.188</v>
      </c>
      <c r="AA20">
        <v>3</v>
      </c>
      <c r="AB20">
        <v>1.56</v>
      </c>
      <c r="AC20" s="1">
        <f t="shared" si="7"/>
        <v>0.32120076946441228</v>
      </c>
      <c r="AD20">
        <v>0.215</v>
      </c>
      <c r="AE20">
        <v>0.30499999999999999</v>
      </c>
      <c r="AF20">
        <v>100</v>
      </c>
      <c r="AG20" s="1">
        <f t="shared" si="8"/>
        <v>70.491803278688522</v>
      </c>
      <c r="AH20">
        <v>0.24099999999999999</v>
      </c>
      <c r="AI20">
        <v>1.355</v>
      </c>
      <c r="AJ20">
        <v>100</v>
      </c>
      <c r="AK20" s="1">
        <f t="shared" si="9"/>
        <v>17.785977859778598</v>
      </c>
    </row>
    <row r="21" spans="1:37" x14ac:dyDescent="0.25">
      <c r="A21" t="s">
        <v>34</v>
      </c>
      <c r="B21">
        <v>5.7000000000000002E-2</v>
      </c>
      <c r="C21">
        <v>0.35099999999999998</v>
      </c>
      <c r="D21">
        <v>5.81</v>
      </c>
      <c r="E21" s="1">
        <f t="shared" si="0"/>
        <v>0.94350427350427346</v>
      </c>
      <c r="F21">
        <v>0.14699999999999999</v>
      </c>
      <c r="G21">
        <v>0.27700000000000002</v>
      </c>
      <c r="H21">
        <v>0.27300000000000002</v>
      </c>
      <c r="I21">
        <f t="shared" si="1"/>
        <v>0.23233333333333336</v>
      </c>
      <c r="J21">
        <v>2.1999999999999999E-2</v>
      </c>
      <c r="K21">
        <v>100</v>
      </c>
      <c r="L21">
        <f t="shared" si="2"/>
        <v>90.530846484935452</v>
      </c>
      <c r="M21">
        <v>50</v>
      </c>
      <c r="N21" s="1">
        <f t="shared" si="3"/>
        <v>1.91903415866246</v>
      </c>
      <c r="O21">
        <v>0.55600000000000005</v>
      </c>
      <c r="P21">
        <v>0.61599999999999999</v>
      </c>
      <c r="Q21">
        <v>0.64200000000000002</v>
      </c>
      <c r="R21">
        <f t="shared" si="4"/>
        <v>0.60466666666666669</v>
      </c>
      <c r="S21">
        <v>2.4</v>
      </c>
      <c r="T21">
        <v>4</v>
      </c>
      <c r="U21" s="1">
        <f t="shared" si="5"/>
        <v>0.38452396050366883</v>
      </c>
      <c r="V21">
        <v>0.254</v>
      </c>
      <c r="W21">
        <v>1.84</v>
      </c>
      <c r="X21">
        <v>0.48</v>
      </c>
      <c r="Y21" s="1">
        <f t="shared" si="6"/>
        <v>1.0319684754053813</v>
      </c>
      <c r="Z21">
        <v>0.114</v>
      </c>
      <c r="AA21">
        <v>3</v>
      </c>
      <c r="AB21">
        <v>1.56</v>
      </c>
      <c r="AC21" s="1">
        <f t="shared" si="7"/>
        <v>0.23235800344234081</v>
      </c>
      <c r="AD21">
        <v>0.214</v>
      </c>
      <c r="AE21">
        <v>0.30499999999999999</v>
      </c>
      <c r="AF21">
        <v>100</v>
      </c>
      <c r="AG21" s="1">
        <f t="shared" si="8"/>
        <v>70.163934426229517</v>
      </c>
      <c r="AH21">
        <v>0.223</v>
      </c>
      <c r="AI21">
        <v>1.355</v>
      </c>
      <c r="AJ21">
        <v>100</v>
      </c>
      <c r="AK21" s="1">
        <f t="shared" si="9"/>
        <v>16.457564575645755</v>
      </c>
    </row>
    <row r="22" spans="1:37" x14ac:dyDescent="0.25">
      <c r="A22">
        <v>2</v>
      </c>
      <c r="B22">
        <v>0.105</v>
      </c>
      <c r="C22">
        <v>0.35099999999999998</v>
      </c>
      <c r="D22">
        <v>5.81</v>
      </c>
      <c r="E22" s="1">
        <f t="shared" si="0"/>
        <v>1.7380341880341879</v>
      </c>
      <c r="F22">
        <v>0.25600000000000001</v>
      </c>
      <c r="G22">
        <v>0.27600000000000002</v>
      </c>
      <c r="H22">
        <v>0.27200000000000002</v>
      </c>
      <c r="I22">
        <f t="shared" si="1"/>
        <v>0.26800000000000002</v>
      </c>
      <c r="J22">
        <v>2.1999999999999999E-2</v>
      </c>
      <c r="K22">
        <v>100</v>
      </c>
      <c r="L22">
        <f t="shared" si="2"/>
        <v>91.791044776119406</v>
      </c>
      <c r="M22">
        <v>50</v>
      </c>
      <c r="N22" s="1">
        <f t="shared" si="3"/>
        <v>1.0562628216184875</v>
      </c>
      <c r="O22">
        <v>1.52</v>
      </c>
      <c r="P22">
        <v>1.532</v>
      </c>
      <c r="Q22">
        <v>1.5329999999999999</v>
      </c>
      <c r="R22">
        <f t="shared" si="4"/>
        <v>1.5283333333333333</v>
      </c>
      <c r="S22">
        <v>2.4</v>
      </c>
      <c r="T22">
        <v>4</v>
      </c>
      <c r="U22" s="1">
        <f t="shared" si="5"/>
        <v>0.52760757314974183</v>
      </c>
      <c r="V22">
        <v>0.55300000000000005</v>
      </c>
      <c r="W22">
        <v>1.84</v>
      </c>
      <c r="X22">
        <v>0.48</v>
      </c>
      <c r="Y22" s="1">
        <f t="shared" si="6"/>
        <v>1.2196729776247852</v>
      </c>
      <c r="Z22">
        <v>0.16900000000000001</v>
      </c>
      <c r="AA22">
        <v>3</v>
      </c>
      <c r="AB22">
        <v>1.56</v>
      </c>
      <c r="AC22" s="1">
        <f t="shared" si="7"/>
        <v>0.18699286943693141</v>
      </c>
      <c r="AD22">
        <v>0.21</v>
      </c>
      <c r="AE22">
        <v>0.30499999999999999</v>
      </c>
      <c r="AF22">
        <v>100</v>
      </c>
      <c r="AG22" s="1">
        <f t="shared" si="8"/>
        <v>68.852459016393439</v>
      </c>
      <c r="AH22">
        <v>0.222</v>
      </c>
      <c r="AI22">
        <v>1.355</v>
      </c>
      <c r="AJ22">
        <v>100</v>
      </c>
      <c r="AK22" s="1">
        <f t="shared" si="9"/>
        <v>16.383763837638377</v>
      </c>
    </row>
    <row r="23" spans="1:37" x14ac:dyDescent="0.25">
      <c r="A23">
        <v>3</v>
      </c>
      <c r="B23">
        <v>9.0999999999999998E-2</v>
      </c>
      <c r="C23">
        <v>0.35099999999999998</v>
      </c>
      <c r="D23">
        <v>5.81</v>
      </c>
      <c r="E23" s="1">
        <f t="shared" si="0"/>
        <v>1.506296296296296</v>
      </c>
      <c r="F23">
        <v>0.27800000000000002</v>
      </c>
      <c r="G23">
        <v>0.3</v>
      </c>
      <c r="H23">
        <v>0.29699999999999999</v>
      </c>
      <c r="I23">
        <f t="shared" si="1"/>
        <v>0.29166666666666669</v>
      </c>
      <c r="J23">
        <v>2.1999999999999999E-2</v>
      </c>
      <c r="K23">
        <v>100</v>
      </c>
      <c r="L23">
        <f t="shared" si="2"/>
        <v>92.457142857142856</v>
      </c>
      <c r="M23">
        <v>50</v>
      </c>
      <c r="N23" s="1">
        <f t="shared" si="3"/>
        <v>1.2276089781868</v>
      </c>
      <c r="O23">
        <v>1.1120000000000001</v>
      </c>
      <c r="P23">
        <v>1.127</v>
      </c>
      <c r="Q23">
        <v>1.133</v>
      </c>
      <c r="R23">
        <f t="shared" si="4"/>
        <v>1.1239999999999999</v>
      </c>
      <c r="S23">
        <v>2.4</v>
      </c>
      <c r="T23">
        <v>4</v>
      </c>
      <c r="U23" s="1">
        <f t="shared" si="5"/>
        <v>0.44772067863289894</v>
      </c>
      <c r="V23">
        <v>0.47799999999999998</v>
      </c>
      <c r="W23">
        <v>1.84</v>
      </c>
      <c r="X23">
        <v>0.48</v>
      </c>
      <c r="Y23" s="1">
        <f t="shared" si="6"/>
        <v>1.2164494713548073</v>
      </c>
      <c r="Z23">
        <v>0.129</v>
      </c>
      <c r="AA23">
        <v>3</v>
      </c>
      <c r="AB23">
        <v>1.56</v>
      </c>
      <c r="AC23" s="1">
        <f t="shared" si="7"/>
        <v>0.16469331013220861</v>
      </c>
      <c r="AD23">
        <v>0.216</v>
      </c>
      <c r="AE23">
        <v>0.30499999999999999</v>
      </c>
      <c r="AF23">
        <v>100</v>
      </c>
      <c r="AG23" s="1">
        <f t="shared" si="8"/>
        <v>70.819672131147541</v>
      </c>
      <c r="AH23">
        <v>0.25</v>
      </c>
      <c r="AI23">
        <v>1.355</v>
      </c>
      <c r="AJ23">
        <v>100</v>
      </c>
      <c r="AK23" s="1">
        <f t="shared" si="9"/>
        <v>18.450184501845019</v>
      </c>
    </row>
    <row r="24" spans="1:37" x14ac:dyDescent="0.25">
      <c r="A24" t="s">
        <v>35</v>
      </c>
      <c r="B24">
        <v>6.0999999999999999E-2</v>
      </c>
      <c r="C24">
        <v>0.35099999999999998</v>
      </c>
      <c r="D24">
        <v>5.81</v>
      </c>
      <c r="E24" s="1">
        <f t="shared" si="0"/>
        <v>1.0097150997150997</v>
      </c>
      <c r="F24">
        <v>0.20499999999999999</v>
      </c>
      <c r="G24">
        <v>0.246</v>
      </c>
      <c r="H24">
        <v>0.252</v>
      </c>
      <c r="I24">
        <f t="shared" si="1"/>
        <v>0.23433333333333331</v>
      </c>
      <c r="J24">
        <v>2.1999999999999999E-2</v>
      </c>
      <c r="K24">
        <v>100</v>
      </c>
      <c r="L24">
        <f t="shared" si="2"/>
        <v>90.611664295874832</v>
      </c>
      <c r="M24">
        <v>50</v>
      </c>
      <c r="N24" s="1">
        <f t="shared" si="3"/>
        <v>1.7947966574223113</v>
      </c>
      <c r="O24">
        <v>0.56599999999999995</v>
      </c>
      <c r="P24">
        <v>0.57999999999999996</v>
      </c>
      <c r="Q24">
        <v>0.58099999999999996</v>
      </c>
      <c r="R24">
        <f t="shared" si="4"/>
        <v>0.57566666666666666</v>
      </c>
      <c r="S24">
        <v>2.4</v>
      </c>
      <c r="T24">
        <v>4</v>
      </c>
      <c r="U24" s="1">
        <f t="shared" si="5"/>
        <v>0.34207669083829462</v>
      </c>
      <c r="V24">
        <v>0.41399999999999998</v>
      </c>
      <c r="W24">
        <v>1.84</v>
      </c>
      <c r="X24">
        <v>0.48</v>
      </c>
      <c r="Y24" s="1">
        <f t="shared" si="6"/>
        <v>1.571730481645552</v>
      </c>
      <c r="Z24">
        <v>0.17100000000000001</v>
      </c>
      <c r="AA24">
        <v>3</v>
      </c>
      <c r="AB24">
        <v>1.56</v>
      </c>
      <c r="AC24" s="1">
        <f t="shared" si="7"/>
        <v>0.32568211957901866</v>
      </c>
      <c r="AD24">
        <v>0.20599999999999999</v>
      </c>
      <c r="AE24">
        <v>0.30499999999999999</v>
      </c>
      <c r="AF24">
        <v>100</v>
      </c>
      <c r="AG24" s="1">
        <f t="shared" si="8"/>
        <v>67.540983606557376</v>
      </c>
      <c r="AH24">
        <v>0.29599999999999999</v>
      </c>
      <c r="AI24">
        <v>1.355</v>
      </c>
      <c r="AJ24">
        <v>100</v>
      </c>
      <c r="AK24" s="1">
        <f t="shared" si="9"/>
        <v>21.845018450184501</v>
      </c>
    </row>
    <row r="25" spans="1:37" x14ac:dyDescent="0.25">
      <c r="A25">
        <v>2</v>
      </c>
      <c r="B25">
        <v>0.09</v>
      </c>
      <c r="C25">
        <v>0.35099999999999998</v>
      </c>
      <c r="D25">
        <v>5.81</v>
      </c>
      <c r="E25" s="1">
        <f t="shared" si="0"/>
        <v>1.4897435897435898</v>
      </c>
      <c r="F25">
        <v>0.14599999999999999</v>
      </c>
      <c r="G25">
        <v>0.247</v>
      </c>
      <c r="H25">
        <v>0.251</v>
      </c>
      <c r="I25">
        <f t="shared" si="1"/>
        <v>0.21466666666666667</v>
      </c>
      <c r="J25">
        <v>2.1999999999999999E-2</v>
      </c>
      <c r="K25">
        <v>100</v>
      </c>
      <c r="L25">
        <f t="shared" si="2"/>
        <v>89.75155279503106</v>
      </c>
      <c r="M25">
        <v>50</v>
      </c>
      <c r="N25" s="1">
        <f t="shared" si="3"/>
        <v>1.2049261821019661</v>
      </c>
      <c r="O25">
        <v>0.64</v>
      </c>
      <c r="P25">
        <v>0.60499999999999998</v>
      </c>
      <c r="Q25">
        <v>0.58599999999999997</v>
      </c>
      <c r="R25">
        <f t="shared" si="4"/>
        <v>0.61033333333333328</v>
      </c>
      <c r="S25">
        <v>2.4</v>
      </c>
      <c r="T25">
        <v>4</v>
      </c>
      <c r="U25" s="1">
        <f t="shared" si="5"/>
        <v>0.24581411359724611</v>
      </c>
      <c r="V25">
        <v>0.48</v>
      </c>
      <c r="W25">
        <v>1.84</v>
      </c>
      <c r="X25">
        <v>0.48</v>
      </c>
      <c r="Y25" s="1">
        <f t="shared" si="6"/>
        <v>1.2351118760757316</v>
      </c>
      <c r="Z25">
        <v>7.6999999999999999E-2</v>
      </c>
      <c r="AA25">
        <v>3</v>
      </c>
      <c r="AB25">
        <v>1.56</v>
      </c>
      <c r="AC25" s="1">
        <f t="shared" si="7"/>
        <v>9.939759036144577E-2</v>
      </c>
      <c r="AD25">
        <v>0.21299999999999999</v>
      </c>
      <c r="AE25">
        <v>0.30499999999999999</v>
      </c>
      <c r="AF25">
        <v>100</v>
      </c>
      <c r="AG25" s="1">
        <f t="shared" si="8"/>
        <v>69.836065573770483</v>
      </c>
      <c r="AH25">
        <v>0.26100000000000001</v>
      </c>
      <c r="AI25">
        <v>1.355</v>
      </c>
      <c r="AJ25">
        <v>100</v>
      </c>
      <c r="AK25" s="1">
        <f t="shared" si="9"/>
        <v>19.2619926199262</v>
      </c>
    </row>
    <row r="26" spans="1:37" x14ac:dyDescent="0.25">
      <c r="A26">
        <v>3</v>
      </c>
      <c r="B26">
        <v>0.11799999999999999</v>
      </c>
      <c r="C26">
        <v>0.35099999999999998</v>
      </c>
      <c r="D26">
        <v>5.81</v>
      </c>
      <c r="E26" s="1">
        <f t="shared" si="0"/>
        <v>1.953219373219373</v>
      </c>
      <c r="F26">
        <v>0.14799999999999999</v>
      </c>
      <c r="G26">
        <v>0.254</v>
      </c>
      <c r="H26">
        <v>0.255</v>
      </c>
      <c r="I26">
        <f t="shared" si="1"/>
        <v>0.219</v>
      </c>
      <c r="J26">
        <v>2.1999999999999999E-2</v>
      </c>
      <c r="K26">
        <v>100</v>
      </c>
      <c r="L26">
        <f t="shared" si="2"/>
        <v>89.954337899543376</v>
      </c>
      <c r="M26">
        <v>50</v>
      </c>
      <c r="N26" s="1">
        <f t="shared" si="3"/>
        <v>0.92108791396305989</v>
      </c>
      <c r="O26">
        <v>1.29</v>
      </c>
      <c r="P26">
        <v>1.296</v>
      </c>
      <c r="Q26">
        <v>1.296</v>
      </c>
      <c r="R26">
        <f t="shared" si="4"/>
        <v>1.2940000000000003</v>
      </c>
      <c r="S26">
        <v>2.4</v>
      </c>
      <c r="T26">
        <v>4</v>
      </c>
      <c r="U26" s="1">
        <f t="shared" si="5"/>
        <v>0.39749759327868384</v>
      </c>
      <c r="V26">
        <v>0.52600000000000002</v>
      </c>
      <c r="W26">
        <v>1.84</v>
      </c>
      <c r="X26">
        <v>0.48</v>
      </c>
      <c r="Y26" s="1">
        <f t="shared" si="6"/>
        <v>1.0323127862539749</v>
      </c>
      <c r="Z26">
        <v>0.14499999999999999</v>
      </c>
      <c r="AA26">
        <v>3</v>
      </c>
      <c r="AB26">
        <v>1.56</v>
      </c>
      <c r="AC26" s="1">
        <f t="shared" si="7"/>
        <v>0.14276233262347207</v>
      </c>
      <c r="AD26">
        <v>0.21099999999999999</v>
      </c>
      <c r="AE26">
        <v>0.30499999999999999</v>
      </c>
      <c r="AF26">
        <v>100</v>
      </c>
      <c r="AG26" s="1">
        <f t="shared" si="8"/>
        <v>69.180327868852459</v>
      </c>
      <c r="AH26">
        <v>0.20699999999999999</v>
      </c>
      <c r="AI26">
        <v>1.355</v>
      </c>
      <c r="AJ26">
        <v>100</v>
      </c>
      <c r="AK26" s="1">
        <f t="shared" si="9"/>
        <v>15.276752767527674</v>
      </c>
    </row>
    <row r="27" spans="1:37" x14ac:dyDescent="0.25">
      <c r="A27" t="s">
        <v>36</v>
      </c>
      <c r="B27">
        <v>8.5000000000000006E-2</v>
      </c>
      <c r="C27">
        <v>0.35099999999999998</v>
      </c>
      <c r="D27">
        <v>5.81</v>
      </c>
      <c r="E27" s="1">
        <f t="shared" si="0"/>
        <v>1.406980056980057</v>
      </c>
      <c r="F27">
        <v>0.23799999999999999</v>
      </c>
      <c r="G27">
        <v>0.26200000000000001</v>
      </c>
      <c r="H27">
        <v>0.26400000000000001</v>
      </c>
      <c r="I27">
        <f t="shared" si="1"/>
        <v>0.25466666666666665</v>
      </c>
      <c r="J27">
        <v>2.1999999999999999E-2</v>
      </c>
      <c r="K27">
        <v>100</v>
      </c>
      <c r="L27">
        <f t="shared" si="2"/>
        <v>91.361256544502623</v>
      </c>
      <c r="M27">
        <v>50</v>
      </c>
      <c r="N27" s="1">
        <f t="shared" si="3"/>
        <v>1.2986858781865107</v>
      </c>
      <c r="O27">
        <v>1.486</v>
      </c>
      <c r="P27">
        <v>1.498</v>
      </c>
      <c r="Q27">
        <v>1.4990000000000001</v>
      </c>
      <c r="R27">
        <f t="shared" si="4"/>
        <v>1.4943333333333335</v>
      </c>
      <c r="S27">
        <v>2.4</v>
      </c>
      <c r="T27">
        <v>4</v>
      </c>
      <c r="U27" s="1">
        <f t="shared" si="5"/>
        <v>0.63725139212311432</v>
      </c>
      <c r="V27">
        <v>0.51500000000000001</v>
      </c>
      <c r="W27">
        <v>1.84</v>
      </c>
      <c r="X27">
        <v>0.48</v>
      </c>
      <c r="Y27" s="1">
        <f t="shared" si="6"/>
        <v>1.4031234180419156</v>
      </c>
      <c r="Z27">
        <v>0.111</v>
      </c>
      <c r="AA27">
        <v>3</v>
      </c>
      <c r="AB27">
        <v>1.56</v>
      </c>
      <c r="AC27" s="1">
        <f t="shared" si="7"/>
        <v>0.151716108129999</v>
      </c>
      <c r="AD27">
        <v>0.20799999999999999</v>
      </c>
      <c r="AE27">
        <v>0.30499999999999999</v>
      </c>
      <c r="AF27">
        <v>100</v>
      </c>
      <c r="AG27" s="1">
        <f t="shared" si="8"/>
        <v>68.1967213114754</v>
      </c>
      <c r="AH27">
        <v>0.20599999999999999</v>
      </c>
      <c r="AI27">
        <v>1.355</v>
      </c>
      <c r="AJ27">
        <v>100</v>
      </c>
      <c r="AK27" s="1">
        <f t="shared" si="9"/>
        <v>15.202952029520295</v>
      </c>
    </row>
    <row r="28" spans="1:37" x14ac:dyDescent="0.25">
      <c r="A28" t="s">
        <v>37</v>
      </c>
      <c r="B28">
        <v>5.3999999999999999E-2</v>
      </c>
      <c r="C28">
        <v>0.35099999999999998</v>
      </c>
      <c r="D28">
        <v>5.81</v>
      </c>
      <c r="E28" s="1">
        <f t="shared" si="0"/>
        <v>0.89384615384615385</v>
      </c>
      <c r="F28">
        <v>0.219</v>
      </c>
      <c r="G28">
        <v>0.26700000000000002</v>
      </c>
      <c r="H28">
        <v>0.26900000000000002</v>
      </c>
      <c r="I28">
        <f t="shared" si="1"/>
        <v>0.25166666666666665</v>
      </c>
      <c r="J28">
        <v>2.1999999999999999E-2</v>
      </c>
      <c r="K28">
        <v>100</v>
      </c>
      <c r="L28">
        <f t="shared" si="2"/>
        <v>91.258278145695371</v>
      </c>
      <c r="M28">
        <v>50</v>
      </c>
      <c r="N28" s="1">
        <f t="shared" si="3"/>
        <v>2.0419236073907743</v>
      </c>
      <c r="O28">
        <v>0.74099999999999999</v>
      </c>
      <c r="P28">
        <v>0.76</v>
      </c>
      <c r="Q28">
        <v>0.76800000000000002</v>
      </c>
      <c r="R28">
        <f t="shared" si="4"/>
        <v>0.75633333333333341</v>
      </c>
      <c r="S28">
        <v>2.4</v>
      </c>
      <c r="T28">
        <v>4</v>
      </c>
      <c r="U28" s="1">
        <f t="shared" si="5"/>
        <v>0.50769363166953529</v>
      </c>
      <c r="V28">
        <v>0.47799999999999998</v>
      </c>
      <c r="W28">
        <v>1.84</v>
      </c>
      <c r="X28">
        <v>0.48</v>
      </c>
      <c r="Y28" s="1">
        <f t="shared" si="6"/>
        <v>2.0499426276534711</v>
      </c>
      <c r="Z28">
        <v>0.123</v>
      </c>
      <c r="AA28">
        <v>3</v>
      </c>
      <c r="AB28">
        <v>1.56</v>
      </c>
      <c r="AC28" s="1">
        <f t="shared" si="7"/>
        <v>0.26462994836488812</v>
      </c>
      <c r="AD28">
        <v>0.214</v>
      </c>
      <c r="AE28">
        <v>0.30499999999999999</v>
      </c>
      <c r="AF28">
        <v>100</v>
      </c>
      <c r="AG28" s="1">
        <f t="shared" si="8"/>
        <v>70.163934426229517</v>
      </c>
      <c r="AH28">
        <v>0.34899999999999998</v>
      </c>
      <c r="AI28">
        <v>1.355</v>
      </c>
      <c r="AJ28">
        <v>100</v>
      </c>
      <c r="AK28" s="1">
        <f t="shared" si="9"/>
        <v>25.756457564575648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TP,SOD,CAT,GPx,MDA,GSH,TAC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2026-06-01T23:21:21Z</dcterms:created>
  <dcterms:modified xsi:type="dcterms:W3CDTF">2026-06-03T00:18:57Z</dcterms:modified>
</cp:coreProperties>
</file>