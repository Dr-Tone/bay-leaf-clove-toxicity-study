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15360" windowHeight="6225"/>
  </bookViews>
  <sheets>
    <sheet name="PROT,SOD,CAT,GPx,MDA,GSH,TAC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4" i="1" l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" i="1"/>
  <c r="AG31" i="1" l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G5" i="1"/>
  <c r="AG4" i="1"/>
  <c r="AG3" i="1"/>
  <c r="R31" i="1"/>
  <c r="L31" i="1"/>
  <c r="I31" i="1"/>
  <c r="E31" i="1"/>
  <c r="AC31" i="1" s="1"/>
  <c r="R30" i="1"/>
  <c r="L30" i="1"/>
  <c r="I30" i="1"/>
  <c r="E30" i="1"/>
  <c r="AC30" i="1" s="1"/>
  <c r="R29" i="1"/>
  <c r="L29" i="1"/>
  <c r="I29" i="1"/>
  <c r="E29" i="1"/>
  <c r="AC29" i="1" s="1"/>
  <c r="R28" i="1"/>
  <c r="I28" i="1"/>
  <c r="L28" i="1" s="1"/>
  <c r="E28" i="1"/>
  <c r="AC28" i="1" s="1"/>
  <c r="R27" i="1"/>
  <c r="L27" i="1"/>
  <c r="I27" i="1"/>
  <c r="E27" i="1"/>
  <c r="AC27" i="1" s="1"/>
  <c r="R26" i="1"/>
  <c r="I26" i="1"/>
  <c r="L26" i="1" s="1"/>
  <c r="E26" i="1"/>
  <c r="AC26" i="1" s="1"/>
  <c r="R25" i="1"/>
  <c r="U25" i="1" s="1"/>
  <c r="I25" i="1"/>
  <c r="L25" i="1" s="1"/>
  <c r="E25" i="1"/>
  <c r="AC25" i="1" s="1"/>
  <c r="R24" i="1"/>
  <c r="I24" i="1"/>
  <c r="L24" i="1" s="1"/>
  <c r="E24" i="1"/>
  <c r="AC24" i="1" s="1"/>
  <c r="R23" i="1"/>
  <c r="L23" i="1"/>
  <c r="I23" i="1"/>
  <c r="E23" i="1"/>
  <c r="AC23" i="1" s="1"/>
  <c r="R22" i="1"/>
  <c r="I22" i="1"/>
  <c r="L22" i="1" s="1"/>
  <c r="E22" i="1"/>
  <c r="AC22" i="1" s="1"/>
  <c r="R21" i="1"/>
  <c r="U21" i="1" s="1"/>
  <c r="I21" i="1"/>
  <c r="L21" i="1" s="1"/>
  <c r="E21" i="1"/>
  <c r="AC21" i="1" s="1"/>
  <c r="R20" i="1"/>
  <c r="I20" i="1"/>
  <c r="L20" i="1" s="1"/>
  <c r="E20" i="1"/>
  <c r="AC20" i="1" s="1"/>
  <c r="R19" i="1"/>
  <c r="I19" i="1"/>
  <c r="L19" i="1" s="1"/>
  <c r="E19" i="1"/>
  <c r="AC19" i="1" s="1"/>
  <c r="R18" i="1"/>
  <c r="I18" i="1"/>
  <c r="L18" i="1" s="1"/>
  <c r="E18" i="1"/>
  <c r="AC18" i="1" s="1"/>
  <c r="R17" i="1"/>
  <c r="I17" i="1"/>
  <c r="L17" i="1" s="1"/>
  <c r="E17" i="1"/>
  <c r="AC17" i="1" s="1"/>
  <c r="R16" i="1"/>
  <c r="I16" i="1"/>
  <c r="L16" i="1" s="1"/>
  <c r="E16" i="1"/>
  <c r="AC16" i="1" s="1"/>
  <c r="R15" i="1"/>
  <c r="I15" i="1"/>
  <c r="L15" i="1" s="1"/>
  <c r="E15" i="1"/>
  <c r="AC15" i="1" s="1"/>
  <c r="R14" i="1"/>
  <c r="L14" i="1"/>
  <c r="I14" i="1"/>
  <c r="E14" i="1"/>
  <c r="AC14" i="1" s="1"/>
  <c r="R13" i="1"/>
  <c r="I13" i="1"/>
  <c r="L13" i="1" s="1"/>
  <c r="E13" i="1"/>
  <c r="AC13" i="1" s="1"/>
  <c r="R12" i="1"/>
  <c r="L12" i="1"/>
  <c r="I12" i="1"/>
  <c r="E12" i="1"/>
  <c r="AC12" i="1" s="1"/>
  <c r="R11" i="1"/>
  <c r="L11" i="1"/>
  <c r="I11" i="1"/>
  <c r="E11" i="1"/>
  <c r="AC11" i="1" s="1"/>
  <c r="R10" i="1"/>
  <c r="I10" i="1"/>
  <c r="L10" i="1" s="1"/>
  <c r="E10" i="1"/>
  <c r="AC10" i="1" s="1"/>
  <c r="R9" i="1"/>
  <c r="I9" i="1"/>
  <c r="L9" i="1" s="1"/>
  <c r="E9" i="1"/>
  <c r="AC9" i="1" s="1"/>
  <c r="R8" i="1"/>
  <c r="I8" i="1"/>
  <c r="L8" i="1" s="1"/>
  <c r="E8" i="1"/>
  <c r="AC8" i="1" s="1"/>
  <c r="R7" i="1"/>
  <c r="I7" i="1"/>
  <c r="L7" i="1" s="1"/>
  <c r="E7" i="1"/>
  <c r="AC7" i="1" s="1"/>
  <c r="R6" i="1"/>
  <c r="I6" i="1"/>
  <c r="L6" i="1" s="1"/>
  <c r="E6" i="1"/>
  <c r="AC6" i="1" s="1"/>
  <c r="R5" i="1"/>
  <c r="L5" i="1"/>
  <c r="I5" i="1"/>
  <c r="E5" i="1"/>
  <c r="AC5" i="1" s="1"/>
  <c r="R4" i="1"/>
  <c r="I4" i="1"/>
  <c r="L4" i="1" s="1"/>
  <c r="E4" i="1"/>
  <c r="AC4" i="1" s="1"/>
  <c r="R3" i="1"/>
  <c r="I3" i="1"/>
  <c r="L3" i="1" s="1"/>
  <c r="E3" i="1"/>
  <c r="AC3" i="1" s="1"/>
  <c r="U31" i="1" l="1"/>
  <c r="U29" i="1"/>
  <c r="U27" i="1"/>
  <c r="U23" i="1"/>
  <c r="U19" i="1"/>
  <c r="U17" i="1"/>
  <c r="U15" i="1"/>
  <c r="U13" i="1"/>
  <c r="U11" i="1"/>
  <c r="U9" i="1"/>
  <c r="U7" i="1"/>
  <c r="U5" i="1"/>
  <c r="N3" i="1"/>
  <c r="U3" i="1"/>
  <c r="N4" i="1"/>
  <c r="Y4" i="1"/>
  <c r="N6" i="1"/>
  <c r="Y6" i="1"/>
  <c r="N8" i="1"/>
  <c r="Y8" i="1"/>
  <c r="N10" i="1"/>
  <c r="Y10" i="1"/>
  <c r="N12" i="1"/>
  <c r="Y12" i="1"/>
  <c r="N14" i="1"/>
  <c r="Y14" i="1"/>
  <c r="N16" i="1"/>
  <c r="Y16" i="1"/>
  <c r="N18" i="1"/>
  <c r="Y18" i="1"/>
  <c r="N20" i="1"/>
  <c r="Y20" i="1"/>
  <c r="N22" i="1"/>
  <c r="Y22" i="1"/>
  <c r="N24" i="1"/>
  <c r="Y24" i="1"/>
  <c r="N26" i="1"/>
  <c r="Y26" i="1"/>
  <c r="N28" i="1"/>
  <c r="Y28" i="1"/>
  <c r="N30" i="1"/>
  <c r="Y30" i="1"/>
  <c r="Y3" i="1"/>
  <c r="U4" i="1"/>
  <c r="N5" i="1"/>
  <c r="Y5" i="1"/>
  <c r="U6" i="1"/>
  <c r="N7" i="1"/>
  <c r="Y7" i="1"/>
  <c r="U8" i="1"/>
  <c r="N9" i="1"/>
  <c r="Y9" i="1"/>
  <c r="U10" i="1"/>
  <c r="N11" i="1"/>
  <c r="Y11" i="1"/>
  <c r="U12" i="1"/>
  <c r="N13" i="1"/>
  <c r="Y13" i="1"/>
  <c r="U14" i="1"/>
  <c r="N15" i="1"/>
  <c r="Y15" i="1"/>
  <c r="U16" i="1"/>
  <c r="N17" i="1"/>
  <c r="Y17" i="1"/>
  <c r="U18" i="1"/>
  <c r="N19" i="1"/>
  <c r="Y19" i="1"/>
  <c r="U20" i="1"/>
  <c r="N21" i="1"/>
  <c r="Y21" i="1"/>
  <c r="U22" i="1"/>
  <c r="N23" i="1"/>
  <c r="Y23" i="1"/>
  <c r="U24" i="1"/>
  <c r="N25" i="1"/>
  <c r="Y25" i="1"/>
  <c r="U26" i="1"/>
  <c r="N27" i="1"/>
  <c r="Y27" i="1"/>
  <c r="U28" i="1"/>
  <c r="N29" i="1"/>
  <c r="Y29" i="1"/>
  <c r="U30" i="1"/>
  <c r="N31" i="1"/>
  <c r="Y31" i="1"/>
</calcChain>
</file>

<file path=xl/sharedStrings.xml><?xml version="1.0" encoding="utf-8"?>
<sst xmlns="http://schemas.openxmlformats.org/spreadsheetml/2006/main" count="89" uniqueCount="61">
  <si>
    <t>Prot</t>
  </si>
  <si>
    <t>Std</t>
  </si>
  <si>
    <t>SOD</t>
  </si>
  <si>
    <t>Aver</t>
  </si>
  <si>
    <t>CAT</t>
  </si>
  <si>
    <t>GPx</t>
  </si>
  <si>
    <t>MDA</t>
  </si>
  <si>
    <t>Abs</t>
  </si>
  <si>
    <t>Conc</t>
  </si>
  <si>
    <t>g/dL</t>
  </si>
  <si>
    <t>0s</t>
  </si>
  <si>
    <t>30s</t>
  </si>
  <si>
    <t>60s</t>
  </si>
  <si>
    <t>Ref</t>
  </si>
  <si>
    <t>%</t>
  </si>
  <si>
    <t>% Inhib</t>
  </si>
  <si>
    <t>Const</t>
  </si>
  <si>
    <t>U/g Prot</t>
  </si>
  <si>
    <t>Vt</t>
  </si>
  <si>
    <t>Mv</t>
  </si>
  <si>
    <t>Evs</t>
  </si>
  <si>
    <t>V mL</t>
  </si>
  <si>
    <t>MV</t>
  </si>
  <si>
    <t>mol/g Prot</t>
  </si>
  <si>
    <t>SAMPLE</t>
  </si>
  <si>
    <t>ID</t>
  </si>
  <si>
    <t>CL1</t>
  </si>
  <si>
    <t>CL2</t>
  </si>
  <si>
    <t>CL4</t>
  </si>
  <si>
    <t>CL3</t>
  </si>
  <si>
    <t>CL6</t>
  </si>
  <si>
    <t>CL7</t>
  </si>
  <si>
    <t>CL5</t>
  </si>
  <si>
    <t>CL8</t>
  </si>
  <si>
    <t>CL9</t>
  </si>
  <si>
    <t>CL10</t>
  </si>
  <si>
    <t>CL11</t>
  </si>
  <si>
    <t>CL12</t>
  </si>
  <si>
    <t>CL13</t>
  </si>
  <si>
    <t>CL14</t>
  </si>
  <si>
    <t>CL15</t>
  </si>
  <si>
    <t>MC1</t>
  </si>
  <si>
    <t>MC2</t>
  </si>
  <si>
    <t>MC3</t>
  </si>
  <si>
    <t>MC4</t>
  </si>
  <si>
    <t>MC5</t>
  </si>
  <si>
    <t>NC1</t>
  </si>
  <si>
    <t>NC2</t>
  </si>
  <si>
    <t>NC3</t>
  </si>
  <si>
    <t>NC4</t>
  </si>
  <si>
    <t>NC5</t>
  </si>
  <si>
    <t>IB1</t>
  </si>
  <si>
    <t>IB3</t>
  </si>
  <si>
    <t>IB4</t>
  </si>
  <si>
    <t>IB5</t>
  </si>
  <si>
    <t>GSH</t>
  </si>
  <si>
    <t>Red. GSH</t>
  </si>
  <si>
    <t>AbS</t>
  </si>
  <si>
    <t>ug/mL</t>
  </si>
  <si>
    <t>TAC</t>
  </si>
  <si>
    <t>Abs (Asc)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</si>
</sst>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1"/>
  <sheetViews>
    <sheetView tabSelected="1" topLeftCell="W1" workbookViewId="0">
      <selection activeCell="AK1" sqref="AK1:AK1048576"/>
    </sheetView>
  </sheetViews>
  <sheetFormatPr defaultRowHeight="15" x14ac:dyDescent="0.25"/>
  <cols>
    <col min="1" max="1" width="7.85546875" customWidth="1"/>
    <col min="2" max="2" width="6.140625" customWidth="1"/>
    <col min="3" max="3" width="6" customWidth="1"/>
    <col min="4" max="4" width="5.140625" customWidth="1"/>
    <col min="6" max="6" width="5.85546875" customWidth="1"/>
    <col min="7" max="7" width="6" customWidth="1"/>
    <col min="8" max="8" width="5.85546875" customWidth="1"/>
    <col min="9" max="9" width="6.28515625" customWidth="1"/>
    <col min="10" max="10" width="6" customWidth="1"/>
    <col min="11" max="11" width="3.7109375" customWidth="1"/>
    <col min="12" max="12" width="7.42578125" customWidth="1"/>
    <col min="13" max="13" width="5.7109375" customWidth="1"/>
    <col min="14" max="14" width="8.28515625" customWidth="1"/>
    <col min="15" max="15" width="6.140625" customWidth="1"/>
    <col min="16" max="16" width="6.28515625" customWidth="1"/>
    <col min="17" max="18" width="5.85546875" customWidth="1"/>
    <col min="19" max="19" width="4.28515625" customWidth="1"/>
    <col min="20" max="20" width="4.140625" customWidth="1"/>
    <col min="21" max="21" width="8.28515625" customWidth="1"/>
    <col min="22" max="22" width="6.140625" customWidth="1"/>
    <col min="23" max="23" width="4.7109375" customWidth="1"/>
    <col min="24" max="24" width="5.28515625" customWidth="1"/>
    <col min="25" max="25" width="8" customWidth="1"/>
    <col min="26" max="26" width="6.140625" customWidth="1"/>
    <col min="27" max="28" width="5.28515625" customWidth="1"/>
    <col min="29" max="29" width="10.28515625" customWidth="1"/>
    <col min="30" max="30" width="6.140625" customWidth="1"/>
    <col min="31" max="31" width="6" customWidth="1"/>
    <col min="32" max="32" width="5.140625" customWidth="1"/>
    <col min="34" max="34" width="6.28515625" customWidth="1"/>
    <col min="36" max="36" width="5.140625" customWidth="1"/>
    <col min="37" max="37" width="6.5703125" style="1" customWidth="1"/>
  </cols>
  <sheetData>
    <row r="1" spans="1:37" x14ac:dyDescent="0.25">
      <c r="A1" t="s">
        <v>24</v>
      </c>
      <c r="B1" t="s">
        <v>0</v>
      </c>
      <c r="C1" t="s">
        <v>1</v>
      </c>
      <c r="D1" t="s">
        <v>1</v>
      </c>
      <c r="E1" s="1" t="s">
        <v>0</v>
      </c>
      <c r="G1" t="s">
        <v>2</v>
      </c>
      <c r="I1" t="s">
        <v>3</v>
      </c>
      <c r="N1" s="1" t="s">
        <v>2</v>
      </c>
      <c r="P1" t="s">
        <v>4</v>
      </c>
      <c r="R1" t="s">
        <v>3</v>
      </c>
      <c r="U1" s="1" t="s">
        <v>4</v>
      </c>
      <c r="V1" t="s">
        <v>5</v>
      </c>
      <c r="Y1" s="1" t="s">
        <v>5</v>
      </c>
      <c r="Z1" t="s">
        <v>6</v>
      </c>
      <c r="AC1" s="1" t="s">
        <v>6</v>
      </c>
      <c r="AD1" t="s">
        <v>55</v>
      </c>
      <c r="AE1" t="s">
        <v>1</v>
      </c>
      <c r="AF1" t="s">
        <v>1</v>
      </c>
      <c r="AG1" s="1" t="s">
        <v>56</v>
      </c>
      <c r="AH1" t="s">
        <v>59</v>
      </c>
      <c r="AI1" t="s">
        <v>1</v>
      </c>
      <c r="AJ1" t="s">
        <v>1</v>
      </c>
      <c r="AK1" s="1" t="s">
        <v>59</v>
      </c>
    </row>
    <row r="2" spans="1:37" x14ac:dyDescent="0.25">
      <c r="A2" t="s">
        <v>25</v>
      </c>
      <c r="B2" t="s">
        <v>7</v>
      </c>
      <c r="C2" t="s">
        <v>7</v>
      </c>
      <c r="D2" t="s">
        <v>8</v>
      </c>
      <c r="E2" s="1" t="s">
        <v>9</v>
      </c>
      <c r="F2" t="s">
        <v>10</v>
      </c>
      <c r="G2" t="s">
        <v>11</v>
      </c>
      <c r="H2" t="s">
        <v>12</v>
      </c>
      <c r="I2" t="s">
        <v>7</v>
      </c>
      <c r="J2" t="s">
        <v>13</v>
      </c>
      <c r="K2" t="s">
        <v>14</v>
      </c>
      <c r="L2" t="s">
        <v>15</v>
      </c>
      <c r="M2" t="s">
        <v>16</v>
      </c>
      <c r="N2" s="1" t="s">
        <v>17</v>
      </c>
      <c r="O2" t="s">
        <v>10</v>
      </c>
      <c r="P2" t="s">
        <v>11</v>
      </c>
      <c r="Q2" t="s">
        <v>12</v>
      </c>
      <c r="R2" t="s">
        <v>7</v>
      </c>
      <c r="S2" t="s">
        <v>18</v>
      </c>
      <c r="T2" t="s">
        <v>19</v>
      </c>
      <c r="U2" s="1" t="s">
        <v>17</v>
      </c>
      <c r="V2" t="s">
        <v>7</v>
      </c>
      <c r="W2" t="s">
        <v>18</v>
      </c>
      <c r="X2" t="s">
        <v>20</v>
      </c>
      <c r="Y2" s="1" t="s">
        <v>17</v>
      </c>
      <c r="Z2" t="s">
        <v>7</v>
      </c>
      <c r="AA2" t="s">
        <v>21</v>
      </c>
      <c r="AB2" t="s">
        <v>22</v>
      </c>
      <c r="AC2" s="1" t="s">
        <v>23</v>
      </c>
      <c r="AD2" t="s">
        <v>7</v>
      </c>
      <c r="AE2" t="s">
        <v>57</v>
      </c>
      <c r="AF2" t="s">
        <v>8</v>
      </c>
      <c r="AG2" s="1" t="s">
        <v>58</v>
      </c>
      <c r="AH2" t="s">
        <v>7</v>
      </c>
      <c r="AI2" t="s">
        <v>60</v>
      </c>
      <c r="AJ2" t="s">
        <v>8</v>
      </c>
      <c r="AK2" s="1" t="s">
        <v>58</v>
      </c>
    </row>
    <row r="3" spans="1:37" x14ac:dyDescent="0.25">
      <c r="A3" t="s">
        <v>26</v>
      </c>
      <c r="B3">
        <v>0.06</v>
      </c>
      <c r="C3">
        <v>0.35099999999999998</v>
      </c>
      <c r="D3">
        <v>5.81</v>
      </c>
      <c r="E3" s="1">
        <f>(B3/C3)*D3</f>
        <v>0.99316239316239308</v>
      </c>
      <c r="F3">
        <v>3.4000000000000002E-2</v>
      </c>
      <c r="G3">
        <v>4.2999999999999997E-2</v>
      </c>
      <c r="H3">
        <v>4.3999999999999997E-2</v>
      </c>
      <c r="I3">
        <f>(F3+G3+H3)/3</f>
        <v>4.0333333333333332E-2</v>
      </c>
      <c r="J3">
        <v>2.1999999999999999E-2</v>
      </c>
      <c r="K3">
        <v>100</v>
      </c>
      <c r="L3">
        <f>(I3-J3)/I3*K3</f>
        <v>45.45454545454546</v>
      </c>
      <c r="M3">
        <v>50</v>
      </c>
      <c r="N3" s="1">
        <f>L3/(M3*E3)</f>
        <v>0.91534971053043368</v>
      </c>
      <c r="O3">
        <v>1.411</v>
      </c>
      <c r="P3">
        <v>1.4259999999999999</v>
      </c>
      <c r="Q3">
        <v>1.43</v>
      </c>
      <c r="R3">
        <f>(O3+P3+Q3)/3</f>
        <v>1.4223333333333332</v>
      </c>
      <c r="S3">
        <v>2.4</v>
      </c>
      <c r="T3">
        <v>4</v>
      </c>
      <c r="U3" s="1">
        <f>(R3*S3)/(T3*E3)</f>
        <v>0.85927538726333907</v>
      </c>
      <c r="V3">
        <v>0.216</v>
      </c>
      <c r="W3">
        <v>1.84</v>
      </c>
      <c r="X3">
        <v>0.48</v>
      </c>
      <c r="Y3" s="1">
        <f>(V3*W3)/(X3*E3)</f>
        <v>0.83370051635111897</v>
      </c>
      <c r="Z3">
        <v>0.28499999999999998</v>
      </c>
      <c r="AA3">
        <v>3</v>
      </c>
      <c r="AB3">
        <v>1.56</v>
      </c>
      <c r="AC3" s="1">
        <f>(Z3*AA3)/(AB3*E3)</f>
        <v>0.55185025817555944</v>
      </c>
      <c r="AD3">
        <v>0.216</v>
      </c>
      <c r="AE3">
        <v>0.30499999999999999</v>
      </c>
      <c r="AF3">
        <v>100</v>
      </c>
      <c r="AG3" s="1">
        <f>(AD3/AE3)*AF3</f>
        <v>70.819672131147541</v>
      </c>
      <c r="AH3">
        <v>0.57799999999999996</v>
      </c>
      <c r="AI3">
        <v>1.355</v>
      </c>
      <c r="AJ3">
        <v>100</v>
      </c>
      <c r="AK3" s="1">
        <f>(AH3/AI3)*AJ3</f>
        <v>42.656826568265686</v>
      </c>
    </row>
    <row r="4" spans="1:37" x14ac:dyDescent="0.25">
      <c r="A4" t="s">
        <v>27</v>
      </c>
      <c r="B4">
        <v>5.2999999999999999E-2</v>
      </c>
      <c r="C4">
        <v>0.35099999999999998</v>
      </c>
      <c r="D4">
        <v>5.81</v>
      </c>
      <c r="E4" s="1">
        <f t="shared" ref="E4:E31" si="0">(B4/C4)*D4</f>
        <v>0.87729344729344727</v>
      </c>
      <c r="F4">
        <v>3.4000000000000002E-2</v>
      </c>
      <c r="G4">
        <v>0.04</v>
      </c>
      <c r="H4">
        <v>4.2000000000000003E-2</v>
      </c>
      <c r="I4">
        <f t="shared" ref="I4:I31" si="1">(F4+G4+H4)/3</f>
        <v>3.8666666666666676E-2</v>
      </c>
      <c r="J4">
        <v>2.1999999999999999E-2</v>
      </c>
      <c r="K4">
        <v>100</v>
      </c>
      <c r="L4">
        <f t="shared" ref="L4:L31" si="2">(I4-J4)/I4*K4</f>
        <v>43.103448275862085</v>
      </c>
      <c r="M4">
        <v>50</v>
      </c>
      <c r="N4" s="1">
        <f t="shared" ref="N4:N31" si="3">L4/(M4*E4)</f>
        <v>0.98264607831829254</v>
      </c>
      <c r="O4">
        <v>1.397</v>
      </c>
      <c r="P4">
        <v>1.409</v>
      </c>
      <c r="Q4">
        <v>1.4159999999999999</v>
      </c>
      <c r="R4">
        <f t="shared" ref="R4:R31" si="4">(O4+P4+Q4)/3</f>
        <v>1.4073333333333331</v>
      </c>
      <c r="S4">
        <v>2.4</v>
      </c>
      <c r="T4">
        <v>4</v>
      </c>
      <c r="U4" s="1">
        <f t="shared" ref="U4:U31" si="5">(R4*S4)/(T4*E4)</f>
        <v>0.96250576429708035</v>
      </c>
      <c r="V4">
        <v>0.35299999999999998</v>
      </c>
      <c r="W4">
        <v>1.84</v>
      </c>
      <c r="X4">
        <v>0.48</v>
      </c>
      <c r="Y4" s="1">
        <f t="shared" ref="Y4:Y31" si="6">(V4*W4)/(X4*E4)</f>
        <v>1.5424333452408014</v>
      </c>
      <c r="Z4">
        <v>0.11700000000000001</v>
      </c>
      <c r="AA4">
        <v>3</v>
      </c>
      <c r="AB4">
        <v>1.56</v>
      </c>
      <c r="AC4" s="1">
        <f t="shared" ref="AC4:AC31" si="7">(Z4*AA4)/(AB4*E4)</f>
        <v>0.25647062644107427</v>
      </c>
      <c r="AD4">
        <v>0.23499999999999999</v>
      </c>
      <c r="AE4">
        <v>0.30499999999999999</v>
      </c>
      <c r="AF4">
        <v>100</v>
      </c>
      <c r="AG4" s="1">
        <f t="shared" ref="AG4:AG31" si="8">(AD4/AE4)*AF4</f>
        <v>77.049180327868854</v>
      </c>
      <c r="AH4">
        <v>0.55200000000000005</v>
      </c>
      <c r="AI4">
        <v>1.355</v>
      </c>
      <c r="AJ4">
        <v>100</v>
      </c>
      <c r="AK4" s="1">
        <f t="shared" ref="AK4:AK31" si="9">(AH4/AI4)*AJ4</f>
        <v>40.738007380073803</v>
      </c>
    </row>
    <row r="5" spans="1:37" x14ac:dyDescent="0.25">
      <c r="A5" t="s">
        <v>29</v>
      </c>
      <c r="B5">
        <v>6.7000000000000004E-2</v>
      </c>
      <c r="C5">
        <v>0.35099999999999998</v>
      </c>
      <c r="D5">
        <v>5.81</v>
      </c>
      <c r="E5" s="1">
        <f t="shared" si="0"/>
        <v>1.1090313390313391</v>
      </c>
      <c r="F5">
        <v>3.5000000000000003E-2</v>
      </c>
      <c r="G5">
        <v>4.3999999999999997E-2</v>
      </c>
      <c r="H5">
        <v>4.4999999999999998E-2</v>
      </c>
      <c r="I5">
        <f t="shared" si="1"/>
        <v>4.1333333333333333E-2</v>
      </c>
      <c r="J5">
        <v>2.1999999999999999E-2</v>
      </c>
      <c r="K5">
        <v>100</v>
      </c>
      <c r="L5">
        <f t="shared" si="2"/>
        <v>46.774193548387103</v>
      </c>
      <c r="M5">
        <v>50</v>
      </c>
      <c r="N5" s="1">
        <f t="shared" si="3"/>
        <v>0.84351436974253724</v>
      </c>
      <c r="O5">
        <v>0.82599999999999996</v>
      </c>
      <c r="P5">
        <v>1.1759999999999999</v>
      </c>
      <c r="Q5">
        <v>1.4359999999999999</v>
      </c>
      <c r="R5">
        <f t="shared" si="4"/>
        <v>1.1459999999999999</v>
      </c>
      <c r="S5">
        <v>2.4</v>
      </c>
      <c r="T5">
        <v>4</v>
      </c>
      <c r="U5" s="1">
        <f t="shared" si="5"/>
        <v>0.62000051378220755</v>
      </c>
      <c r="V5">
        <v>0.5</v>
      </c>
      <c r="W5">
        <v>1.84</v>
      </c>
      <c r="X5">
        <v>0.48</v>
      </c>
      <c r="Y5" s="1">
        <f t="shared" si="6"/>
        <v>1.7282349012253706</v>
      </c>
      <c r="Z5">
        <v>0.20300000000000001</v>
      </c>
      <c r="AA5">
        <v>3</v>
      </c>
      <c r="AB5">
        <v>1.56</v>
      </c>
      <c r="AC5" s="1">
        <f t="shared" si="7"/>
        <v>0.35200503506563563</v>
      </c>
      <c r="AD5">
        <v>0.23899999999999999</v>
      </c>
      <c r="AE5">
        <v>0.30499999999999999</v>
      </c>
      <c r="AF5">
        <v>100</v>
      </c>
      <c r="AG5" s="1">
        <f t="shared" si="8"/>
        <v>78.360655737704917</v>
      </c>
      <c r="AH5">
        <v>0.70199999999999996</v>
      </c>
      <c r="AI5">
        <v>1.355</v>
      </c>
      <c r="AJ5">
        <v>100</v>
      </c>
      <c r="AK5" s="1">
        <f t="shared" si="9"/>
        <v>51.808118081180808</v>
      </c>
    </row>
    <row r="6" spans="1:37" x14ac:dyDescent="0.25">
      <c r="A6" t="s">
        <v>28</v>
      </c>
      <c r="B6">
        <v>0.06</v>
      </c>
      <c r="C6">
        <v>0.35099999999999998</v>
      </c>
      <c r="D6">
        <v>5.81</v>
      </c>
      <c r="E6" s="1">
        <f t="shared" si="0"/>
        <v>0.99316239316239308</v>
      </c>
      <c r="F6">
        <v>3.5999999999999997E-2</v>
      </c>
      <c r="G6">
        <v>4.2999999999999997E-2</v>
      </c>
      <c r="H6">
        <v>4.3999999999999997E-2</v>
      </c>
      <c r="I6">
        <f t="shared" si="1"/>
        <v>4.0999999999999995E-2</v>
      </c>
      <c r="J6">
        <v>2.1999999999999999E-2</v>
      </c>
      <c r="K6">
        <v>100</v>
      </c>
      <c r="L6">
        <f t="shared" si="2"/>
        <v>46.341463414634141</v>
      </c>
      <c r="M6">
        <v>50</v>
      </c>
      <c r="N6" s="1">
        <f t="shared" si="3"/>
        <v>0.9332101926871248</v>
      </c>
      <c r="O6">
        <v>0.81200000000000006</v>
      </c>
      <c r="P6">
        <v>1.167</v>
      </c>
      <c r="Q6">
        <v>1.171</v>
      </c>
      <c r="R6">
        <f t="shared" si="4"/>
        <v>1.05</v>
      </c>
      <c r="S6">
        <v>2.4</v>
      </c>
      <c r="T6">
        <v>4</v>
      </c>
      <c r="U6" s="1">
        <f t="shared" si="5"/>
        <v>0.63433734939759046</v>
      </c>
      <c r="V6">
        <v>0.317</v>
      </c>
      <c r="W6">
        <v>1.84</v>
      </c>
      <c r="X6">
        <v>0.48</v>
      </c>
      <c r="Y6" s="1">
        <f t="shared" si="6"/>
        <v>1.2235327022375218</v>
      </c>
      <c r="Z6">
        <v>0.17100000000000001</v>
      </c>
      <c r="AA6">
        <v>3</v>
      </c>
      <c r="AB6">
        <v>1.56</v>
      </c>
      <c r="AC6" s="1">
        <f t="shared" si="7"/>
        <v>0.33111015490533569</v>
      </c>
      <c r="AD6">
        <v>0.216</v>
      </c>
      <c r="AE6">
        <v>0.30499999999999999</v>
      </c>
      <c r="AF6">
        <v>100</v>
      </c>
      <c r="AG6" s="1">
        <f t="shared" si="8"/>
        <v>70.819672131147541</v>
      </c>
      <c r="AH6">
        <v>0.55500000000000005</v>
      </c>
      <c r="AI6">
        <v>1.355</v>
      </c>
      <c r="AJ6">
        <v>100</v>
      </c>
      <c r="AK6" s="1">
        <f t="shared" si="9"/>
        <v>40.959409594095945</v>
      </c>
    </row>
    <row r="7" spans="1:37" x14ac:dyDescent="0.25">
      <c r="A7" t="s">
        <v>32</v>
      </c>
      <c r="B7">
        <v>5.2999999999999999E-2</v>
      </c>
      <c r="C7">
        <v>0.35099999999999998</v>
      </c>
      <c r="D7">
        <v>5.81</v>
      </c>
      <c r="E7" s="1">
        <f t="shared" si="0"/>
        <v>0.87729344729344727</v>
      </c>
      <c r="F7">
        <v>3.9E-2</v>
      </c>
      <c r="G7">
        <v>4.4999999999999998E-2</v>
      </c>
      <c r="H7">
        <v>4.4999999999999998E-2</v>
      </c>
      <c r="I7">
        <f t="shared" si="1"/>
        <v>4.3000000000000003E-2</v>
      </c>
      <c r="J7">
        <v>2.1999999999999999E-2</v>
      </c>
      <c r="K7">
        <v>100</v>
      </c>
      <c r="L7">
        <f t="shared" si="2"/>
        <v>48.83720930232559</v>
      </c>
      <c r="M7">
        <v>50</v>
      </c>
      <c r="N7" s="1">
        <f t="shared" si="3"/>
        <v>1.1133608589690047</v>
      </c>
      <c r="O7">
        <v>0.67200000000000004</v>
      </c>
      <c r="P7">
        <v>1.016</v>
      </c>
      <c r="Q7">
        <v>1.425</v>
      </c>
      <c r="R7">
        <f t="shared" si="4"/>
        <v>1.0376666666666667</v>
      </c>
      <c r="S7">
        <v>2.4</v>
      </c>
      <c r="T7">
        <v>4</v>
      </c>
      <c r="U7" s="1">
        <f t="shared" si="5"/>
        <v>0.7096827200987238</v>
      </c>
      <c r="V7">
        <v>0.33600000000000002</v>
      </c>
      <c r="W7">
        <v>1.84</v>
      </c>
      <c r="X7">
        <v>0.48</v>
      </c>
      <c r="Y7" s="1">
        <f t="shared" si="6"/>
        <v>1.4681518526937942</v>
      </c>
      <c r="Z7">
        <v>0.25800000000000001</v>
      </c>
      <c r="AA7">
        <v>3</v>
      </c>
      <c r="AB7">
        <v>1.56</v>
      </c>
      <c r="AC7" s="1">
        <f t="shared" si="7"/>
        <v>0.56555061215211244</v>
      </c>
      <c r="AD7">
        <v>0.20100000000000001</v>
      </c>
      <c r="AE7">
        <v>0.30499999999999999</v>
      </c>
      <c r="AF7">
        <v>100</v>
      </c>
      <c r="AG7" s="1">
        <f t="shared" si="8"/>
        <v>65.901639344262293</v>
      </c>
      <c r="AH7">
        <v>0.626</v>
      </c>
      <c r="AI7">
        <v>1.355</v>
      </c>
      <c r="AJ7">
        <v>100</v>
      </c>
      <c r="AK7" s="1">
        <f t="shared" si="9"/>
        <v>46.199261992619931</v>
      </c>
    </row>
    <row r="8" spans="1:37" x14ac:dyDescent="0.25">
      <c r="A8" t="s">
        <v>30</v>
      </c>
      <c r="B8">
        <v>5.2999999999999999E-2</v>
      </c>
      <c r="C8">
        <v>0.35099999999999998</v>
      </c>
      <c r="D8">
        <v>5.81</v>
      </c>
      <c r="E8" s="1">
        <f t="shared" si="0"/>
        <v>0.87729344729344727</v>
      </c>
      <c r="F8">
        <v>2.8000000000000001E-2</v>
      </c>
      <c r="G8">
        <v>3.7999999999999999E-2</v>
      </c>
      <c r="H8">
        <v>3.9E-2</v>
      </c>
      <c r="I8">
        <f t="shared" si="1"/>
        <v>3.5000000000000003E-2</v>
      </c>
      <c r="J8">
        <v>2.1999999999999999E-2</v>
      </c>
      <c r="K8">
        <v>100</v>
      </c>
      <c r="L8">
        <f t="shared" si="2"/>
        <v>37.142857142857153</v>
      </c>
      <c r="M8">
        <v>50</v>
      </c>
      <c r="N8" s="1">
        <f t="shared" si="3"/>
        <v>0.84676016348799144</v>
      </c>
      <c r="O8">
        <v>0.68700000000000006</v>
      </c>
      <c r="P8">
        <v>1.123</v>
      </c>
      <c r="Q8">
        <v>1.1259999999999999</v>
      </c>
      <c r="R8">
        <f t="shared" si="4"/>
        <v>0.97866666666666668</v>
      </c>
      <c r="S8">
        <v>2.4</v>
      </c>
      <c r="T8">
        <v>4</v>
      </c>
      <c r="U8" s="1">
        <f t="shared" si="5"/>
        <v>0.66933134153866136</v>
      </c>
      <c r="V8">
        <v>0.317</v>
      </c>
      <c r="W8">
        <v>1.84</v>
      </c>
      <c r="X8">
        <v>0.48</v>
      </c>
      <c r="Y8" s="1">
        <f t="shared" si="6"/>
        <v>1.3851313610236093</v>
      </c>
      <c r="Z8">
        <v>0.16700000000000001</v>
      </c>
      <c r="AA8">
        <v>3</v>
      </c>
      <c r="AB8">
        <v>1.56</v>
      </c>
      <c r="AC8" s="1">
        <f t="shared" si="7"/>
        <v>0.36607345825349913</v>
      </c>
      <c r="AD8">
        <v>0.216</v>
      </c>
      <c r="AE8">
        <v>0.30499999999999999</v>
      </c>
      <c r="AF8">
        <v>100</v>
      </c>
      <c r="AG8" s="1">
        <f t="shared" si="8"/>
        <v>70.819672131147541</v>
      </c>
      <c r="AH8">
        <v>0.67600000000000005</v>
      </c>
      <c r="AI8">
        <v>1.355</v>
      </c>
      <c r="AJ8">
        <v>100</v>
      </c>
      <c r="AK8" s="1">
        <f t="shared" si="9"/>
        <v>49.889298892988933</v>
      </c>
    </row>
    <row r="9" spans="1:37" x14ac:dyDescent="0.25">
      <c r="A9" t="s">
        <v>31</v>
      </c>
      <c r="B9">
        <v>4.9000000000000002E-2</v>
      </c>
      <c r="C9">
        <v>0.35099999999999998</v>
      </c>
      <c r="D9">
        <v>5.81</v>
      </c>
      <c r="E9" s="1">
        <f t="shared" si="0"/>
        <v>0.81108262108262119</v>
      </c>
      <c r="F9">
        <v>3.4000000000000002E-2</v>
      </c>
      <c r="G9">
        <v>4.2000000000000003E-2</v>
      </c>
      <c r="H9">
        <v>4.2999999999999997E-2</v>
      </c>
      <c r="I9">
        <f t="shared" si="1"/>
        <v>3.966666666666667E-2</v>
      </c>
      <c r="J9">
        <v>2.1999999999999999E-2</v>
      </c>
      <c r="K9">
        <v>100</v>
      </c>
      <c r="L9">
        <f t="shared" si="2"/>
        <v>44.537815126050425</v>
      </c>
      <c r="M9">
        <v>50</v>
      </c>
      <c r="N9" s="1">
        <f t="shared" si="3"/>
        <v>1.0982312767742946</v>
      </c>
      <c r="O9">
        <v>0.65400000000000003</v>
      </c>
      <c r="P9">
        <v>1.1319999999999999</v>
      </c>
      <c r="Q9">
        <v>1.1339999999999999</v>
      </c>
      <c r="R9">
        <f t="shared" si="4"/>
        <v>0.97333333333333327</v>
      </c>
      <c r="S9">
        <v>2.4</v>
      </c>
      <c r="T9">
        <v>4</v>
      </c>
      <c r="U9" s="1">
        <f t="shared" si="5"/>
        <v>0.72002529066704124</v>
      </c>
      <c r="V9">
        <v>0.28899999999999998</v>
      </c>
      <c r="W9">
        <v>1.84</v>
      </c>
      <c r="X9">
        <v>0.48</v>
      </c>
      <c r="Y9" s="1">
        <f t="shared" si="6"/>
        <v>1.3658698935684426</v>
      </c>
      <c r="Z9">
        <v>0.108</v>
      </c>
      <c r="AA9">
        <v>3</v>
      </c>
      <c r="AB9">
        <v>1.56</v>
      </c>
      <c r="AC9" s="1">
        <f t="shared" si="7"/>
        <v>0.25606800379360001</v>
      </c>
      <c r="AD9">
        <v>0.20399999999999999</v>
      </c>
      <c r="AE9">
        <v>0.30499999999999999</v>
      </c>
      <c r="AF9">
        <v>100</v>
      </c>
      <c r="AG9" s="1">
        <f t="shared" si="8"/>
        <v>66.885245901639351</v>
      </c>
      <c r="AH9">
        <v>0.71299999999999997</v>
      </c>
      <c r="AI9">
        <v>1.355</v>
      </c>
      <c r="AJ9">
        <v>100</v>
      </c>
      <c r="AK9" s="1">
        <f t="shared" si="9"/>
        <v>52.61992619926199</v>
      </c>
    </row>
    <row r="10" spans="1:37" x14ac:dyDescent="0.25">
      <c r="A10" t="s">
        <v>33</v>
      </c>
      <c r="B10">
        <v>4.7E-2</v>
      </c>
      <c r="C10">
        <v>0.35099999999999998</v>
      </c>
      <c r="D10">
        <v>5.81</v>
      </c>
      <c r="E10" s="1">
        <f t="shared" si="0"/>
        <v>0.77797720797720793</v>
      </c>
      <c r="F10">
        <v>3.2000000000000001E-2</v>
      </c>
      <c r="G10">
        <v>4.3999999999999997E-2</v>
      </c>
      <c r="H10">
        <v>4.4999999999999998E-2</v>
      </c>
      <c r="I10">
        <f t="shared" si="1"/>
        <v>4.0333333333333332E-2</v>
      </c>
      <c r="J10">
        <v>2.1999999999999999E-2</v>
      </c>
      <c r="K10">
        <v>100</v>
      </c>
      <c r="L10">
        <f t="shared" si="2"/>
        <v>45.45454545454546</v>
      </c>
      <c r="M10">
        <v>50</v>
      </c>
      <c r="N10" s="1">
        <f t="shared" si="3"/>
        <v>1.1685315453580003</v>
      </c>
      <c r="O10">
        <v>0.70299999999999996</v>
      </c>
      <c r="P10">
        <v>1.1359999999999999</v>
      </c>
      <c r="Q10">
        <v>1.141</v>
      </c>
      <c r="R10">
        <f t="shared" si="4"/>
        <v>0.99333333333333329</v>
      </c>
      <c r="S10">
        <v>2.4</v>
      </c>
      <c r="T10">
        <v>4</v>
      </c>
      <c r="U10" s="1">
        <f t="shared" si="5"/>
        <v>0.76608928113670494</v>
      </c>
      <c r="V10">
        <v>0.35699999999999998</v>
      </c>
      <c r="W10">
        <v>1.84</v>
      </c>
      <c r="X10">
        <v>0.48</v>
      </c>
      <c r="Y10" s="1">
        <f>(V10*W10)/(X10*E10)</f>
        <v>1.7590489618046659</v>
      </c>
      <c r="Z10">
        <v>0.1</v>
      </c>
      <c r="AA10">
        <v>3</v>
      </c>
      <c r="AB10">
        <v>1.56</v>
      </c>
      <c r="AC10" s="1">
        <f t="shared" si="7"/>
        <v>0.24718936536419239</v>
      </c>
      <c r="AD10">
        <v>0.20399999999999999</v>
      </c>
      <c r="AE10">
        <v>0.30499999999999999</v>
      </c>
      <c r="AF10">
        <v>100</v>
      </c>
      <c r="AG10" s="1">
        <f t="shared" si="8"/>
        <v>66.885245901639351</v>
      </c>
      <c r="AH10">
        <v>0.51900000000000002</v>
      </c>
      <c r="AI10">
        <v>1.355</v>
      </c>
      <c r="AJ10">
        <v>100</v>
      </c>
      <c r="AK10" s="1">
        <f t="shared" si="9"/>
        <v>38.302583025830259</v>
      </c>
    </row>
    <row r="11" spans="1:37" x14ac:dyDescent="0.25">
      <c r="A11" t="s">
        <v>34</v>
      </c>
      <c r="B11">
        <v>9.0999999999999998E-2</v>
      </c>
      <c r="C11">
        <v>0.35099999999999998</v>
      </c>
      <c r="D11">
        <v>5.81</v>
      </c>
      <c r="E11" s="1">
        <f t="shared" si="0"/>
        <v>1.506296296296296</v>
      </c>
      <c r="F11">
        <v>3.4000000000000002E-2</v>
      </c>
      <c r="G11">
        <v>4.3999999999999997E-2</v>
      </c>
      <c r="H11">
        <v>4.4999999999999998E-2</v>
      </c>
      <c r="I11">
        <f t="shared" si="1"/>
        <v>4.1000000000000002E-2</v>
      </c>
      <c r="J11">
        <v>2.1999999999999999E-2</v>
      </c>
      <c r="K11">
        <v>100</v>
      </c>
      <c r="L11">
        <f t="shared" si="2"/>
        <v>46.341463414634156</v>
      </c>
      <c r="M11">
        <v>50</v>
      </c>
      <c r="N11" s="1">
        <f t="shared" si="3"/>
        <v>0.61530342374975289</v>
      </c>
      <c r="O11">
        <v>0.67700000000000005</v>
      </c>
      <c r="P11">
        <v>1.0049999999999999</v>
      </c>
      <c r="Q11">
        <v>1.4490000000000001</v>
      </c>
      <c r="R11">
        <f t="shared" si="4"/>
        <v>1.0436666666666667</v>
      </c>
      <c r="S11">
        <v>2.4</v>
      </c>
      <c r="T11">
        <v>4</v>
      </c>
      <c r="U11" s="1">
        <f t="shared" si="5"/>
        <v>0.41572166215883949</v>
      </c>
      <c r="V11">
        <v>0.28799999999999998</v>
      </c>
      <c r="W11">
        <v>1.84</v>
      </c>
      <c r="X11">
        <v>0.48</v>
      </c>
      <c r="Y11" s="1">
        <f t="shared" si="6"/>
        <v>0.73292353085812656</v>
      </c>
      <c r="Z11">
        <v>0.14899999999999999</v>
      </c>
      <c r="AA11">
        <v>3</v>
      </c>
      <c r="AB11">
        <v>1.56</v>
      </c>
      <c r="AC11" s="1">
        <f t="shared" si="7"/>
        <v>0.19022715666433393</v>
      </c>
      <c r="AD11">
        <v>0.193</v>
      </c>
      <c r="AE11">
        <v>0.30499999999999999</v>
      </c>
      <c r="AF11">
        <v>100</v>
      </c>
      <c r="AG11" s="1">
        <f t="shared" si="8"/>
        <v>63.278688524590166</v>
      </c>
      <c r="AH11">
        <v>0.56599999999999995</v>
      </c>
      <c r="AI11">
        <v>1.355</v>
      </c>
      <c r="AJ11">
        <v>100</v>
      </c>
      <c r="AK11" s="1">
        <f t="shared" si="9"/>
        <v>41.771217712177119</v>
      </c>
    </row>
    <row r="12" spans="1:37" x14ac:dyDescent="0.25">
      <c r="A12" t="s">
        <v>35</v>
      </c>
      <c r="B12">
        <v>4.4999999999999998E-2</v>
      </c>
      <c r="C12">
        <v>0.35099999999999998</v>
      </c>
      <c r="D12">
        <v>5.81</v>
      </c>
      <c r="E12" s="1">
        <f t="shared" si="0"/>
        <v>0.74487179487179489</v>
      </c>
      <c r="F12">
        <v>3.5000000000000003E-2</v>
      </c>
      <c r="G12">
        <v>4.2999999999999997E-2</v>
      </c>
      <c r="H12">
        <v>4.3999999999999997E-2</v>
      </c>
      <c r="I12">
        <f t="shared" si="1"/>
        <v>4.0666666666666663E-2</v>
      </c>
      <c r="J12">
        <v>2.1999999999999999E-2</v>
      </c>
      <c r="K12">
        <v>100</v>
      </c>
      <c r="L12">
        <f t="shared" si="2"/>
        <v>45.901639344262293</v>
      </c>
      <c r="M12">
        <v>50</v>
      </c>
      <c r="N12" s="1">
        <f t="shared" si="3"/>
        <v>1.2324708670748568</v>
      </c>
      <c r="O12">
        <v>0.85899999999999999</v>
      </c>
      <c r="P12">
        <v>1.4590000000000001</v>
      </c>
      <c r="Q12">
        <v>1.502</v>
      </c>
      <c r="R12">
        <f t="shared" si="4"/>
        <v>1.2733333333333334</v>
      </c>
      <c r="S12">
        <v>2.4</v>
      </c>
      <c r="T12">
        <v>4</v>
      </c>
      <c r="U12" s="1">
        <f t="shared" si="5"/>
        <v>1.0256798623063683</v>
      </c>
      <c r="V12">
        <v>0.32</v>
      </c>
      <c r="W12">
        <v>1.84</v>
      </c>
      <c r="X12">
        <v>0.48</v>
      </c>
      <c r="Y12" s="1">
        <f t="shared" si="6"/>
        <v>1.646815834767642</v>
      </c>
      <c r="Z12">
        <v>0.72899999999999998</v>
      </c>
      <c r="AA12">
        <v>3</v>
      </c>
      <c r="AB12">
        <v>1.56</v>
      </c>
      <c r="AC12" s="1">
        <f t="shared" si="7"/>
        <v>1.8820998278829599</v>
      </c>
      <c r="AD12">
        <v>0.193</v>
      </c>
      <c r="AE12">
        <v>0.30499999999999999</v>
      </c>
      <c r="AF12">
        <v>100</v>
      </c>
      <c r="AG12" s="1">
        <f t="shared" si="8"/>
        <v>63.278688524590166</v>
      </c>
      <c r="AH12">
        <v>0.39200000000000002</v>
      </c>
      <c r="AI12">
        <v>1.355</v>
      </c>
      <c r="AJ12">
        <v>100</v>
      </c>
      <c r="AK12" s="1">
        <f t="shared" si="9"/>
        <v>28.929889298892991</v>
      </c>
    </row>
    <row r="13" spans="1:37" x14ac:dyDescent="0.25">
      <c r="A13" t="s">
        <v>36</v>
      </c>
      <c r="B13">
        <v>4.3999999999999997E-2</v>
      </c>
      <c r="C13">
        <v>0.35099999999999998</v>
      </c>
      <c r="D13">
        <v>5.81</v>
      </c>
      <c r="E13" s="1">
        <f t="shared" si="0"/>
        <v>0.72831908831908831</v>
      </c>
      <c r="F13">
        <v>2.4E-2</v>
      </c>
      <c r="G13">
        <v>4.4999999999999998E-2</v>
      </c>
      <c r="H13">
        <v>4.5999999999999999E-2</v>
      </c>
      <c r="I13">
        <f t="shared" si="1"/>
        <v>3.8333333333333337E-2</v>
      </c>
      <c r="J13">
        <v>2.1999999999999999E-2</v>
      </c>
      <c r="K13">
        <v>100</v>
      </c>
      <c r="L13">
        <f t="shared" si="2"/>
        <v>42.608695652173921</v>
      </c>
      <c r="M13">
        <v>50</v>
      </c>
      <c r="N13" s="1">
        <f t="shared" si="3"/>
        <v>1.1700557169389021</v>
      </c>
      <c r="O13">
        <v>0.876</v>
      </c>
      <c r="P13">
        <v>1.337</v>
      </c>
      <c r="Q13">
        <v>1.341</v>
      </c>
      <c r="R13">
        <f t="shared" si="4"/>
        <v>1.1846666666666668</v>
      </c>
      <c r="S13">
        <v>2.4</v>
      </c>
      <c r="T13">
        <v>4</v>
      </c>
      <c r="U13" s="1">
        <f t="shared" si="5"/>
        <v>0.97594586136754813</v>
      </c>
      <c r="V13">
        <v>0.26700000000000002</v>
      </c>
      <c r="W13">
        <v>1.84</v>
      </c>
      <c r="X13">
        <v>0.48</v>
      </c>
      <c r="Y13" s="1">
        <f t="shared" si="6"/>
        <v>1.4052906430918479</v>
      </c>
      <c r="Z13">
        <v>0.19900000000000001</v>
      </c>
      <c r="AA13">
        <v>3</v>
      </c>
      <c r="AB13">
        <v>1.56</v>
      </c>
      <c r="AC13" s="1">
        <f t="shared" si="7"/>
        <v>0.52544593960256614</v>
      </c>
      <c r="AD13">
        <v>0.20100000000000001</v>
      </c>
      <c r="AE13">
        <v>0.30499999999999999</v>
      </c>
      <c r="AF13">
        <v>100</v>
      </c>
      <c r="AG13" s="1">
        <f t="shared" si="8"/>
        <v>65.901639344262293</v>
      </c>
      <c r="AH13">
        <v>0.34799999999999998</v>
      </c>
      <c r="AI13">
        <v>1.355</v>
      </c>
      <c r="AJ13">
        <v>100</v>
      </c>
      <c r="AK13" s="1">
        <f t="shared" si="9"/>
        <v>25.682656826568262</v>
      </c>
    </row>
    <row r="14" spans="1:37" x14ac:dyDescent="0.25">
      <c r="A14" t="s">
        <v>37</v>
      </c>
      <c r="B14">
        <v>4.4999999999999998E-2</v>
      </c>
      <c r="C14">
        <v>0.35099999999999998</v>
      </c>
      <c r="D14">
        <v>5.81</v>
      </c>
      <c r="E14" s="1">
        <f t="shared" si="0"/>
        <v>0.74487179487179489</v>
      </c>
      <c r="F14">
        <v>3.7999999999999999E-2</v>
      </c>
      <c r="G14">
        <v>4.7E-2</v>
      </c>
      <c r="H14">
        <v>4.5999999999999999E-2</v>
      </c>
      <c r="I14">
        <f t="shared" si="1"/>
        <v>4.3666666666666666E-2</v>
      </c>
      <c r="J14">
        <v>2.1999999999999999E-2</v>
      </c>
      <c r="K14">
        <v>100</v>
      </c>
      <c r="L14">
        <f t="shared" si="2"/>
        <v>49.618320610687029</v>
      </c>
      <c r="M14">
        <v>50</v>
      </c>
      <c r="N14" s="1">
        <f t="shared" si="3"/>
        <v>1.3322647186346259</v>
      </c>
      <c r="O14">
        <v>1.3680000000000001</v>
      </c>
      <c r="P14">
        <v>1.3819999999999999</v>
      </c>
      <c r="Q14">
        <v>1.389</v>
      </c>
      <c r="R14">
        <f t="shared" si="4"/>
        <v>1.3796666666666668</v>
      </c>
      <c r="S14">
        <v>2.4</v>
      </c>
      <c r="T14">
        <v>4</v>
      </c>
      <c r="U14" s="1">
        <f t="shared" si="5"/>
        <v>1.1113321858864029</v>
      </c>
      <c r="V14">
        <v>0.35799999999999998</v>
      </c>
      <c r="W14">
        <v>1.84</v>
      </c>
      <c r="X14">
        <v>0.48</v>
      </c>
      <c r="Y14" s="1">
        <f t="shared" si="6"/>
        <v>1.8423752151462995</v>
      </c>
      <c r="Z14">
        <v>0.112</v>
      </c>
      <c r="AA14">
        <v>3</v>
      </c>
      <c r="AB14">
        <v>1.56</v>
      </c>
      <c r="AC14" s="1">
        <f t="shared" si="7"/>
        <v>0.28915662650602408</v>
      </c>
      <c r="AD14">
        <v>0.20499999999999999</v>
      </c>
      <c r="AE14">
        <v>0.30499999999999999</v>
      </c>
      <c r="AF14">
        <v>100</v>
      </c>
      <c r="AG14" s="1">
        <f t="shared" si="8"/>
        <v>67.213114754098356</v>
      </c>
      <c r="AH14">
        <v>0.35699999999999998</v>
      </c>
      <c r="AI14">
        <v>1.355</v>
      </c>
      <c r="AJ14">
        <v>100</v>
      </c>
      <c r="AK14" s="1">
        <f t="shared" si="9"/>
        <v>26.346863468634684</v>
      </c>
    </row>
    <row r="15" spans="1:37" x14ac:dyDescent="0.25">
      <c r="A15" t="s">
        <v>38</v>
      </c>
      <c r="B15">
        <v>4.7E-2</v>
      </c>
      <c r="C15">
        <v>0.35099999999999998</v>
      </c>
      <c r="D15">
        <v>5.81</v>
      </c>
      <c r="E15" s="1">
        <f t="shared" si="0"/>
        <v>0.77797720797720793</v>
      </c>
      <c r="F15">
        <v>3.6999999999999998E-2</v>
      </c>
      <c r="G15">
        <v>4.5999999999999999E-2</v>
      </c>
      <c r="H15">
        <v>4.7E-2</v>
      </c>
      <c r="I15">
        <f t="shared" si="1"/>
        <v>4.3333333333333335E-2</v>
      </c>
      <c r="J15">
        <v>2.1999999999999999E-2</v>
      </c>
      <c r="K15">
        <v>100</v>
      </c>
      <c r="L15">
        <f t="shared" si="2"/>
        <v>49.230769230769234</v>
      </c>
      <c r="M15">
        <v>50</v>
      </c>
      <c r="N15" s="1">
        <f t="shared" si="3"/>
        <v>1.2656095506646647</v>
      </c>
      <c r="O15">
        <v>1.194</v>
      </c>
      <c r="P15">
        <v>1.208</v>
      </c>
      <c r="Q15">
        <v>1.31</v>
      </c>
      <c r="R15">
        <f t="shared" si="4"/>
        <v>1.2373333333333334</v>
      </c>
      <c r="S15">
        <v>2.4</v>
      </c>
      <c r="T15">
        <v>4</v>
      </c>
      <c r="U15" s="1">
        <f t="shared" si="5"/>
        <v>0.95426960120115734</v>
      </c>
      <c r="V15">
        <v>0.371</v>
      </c>
      <c r="W15">
        <v>1.84</v>
      </c>
      <c r="X15">
        <v>0.48</v>
      </c>
      <c r="Y15" s="1">
        <f t="shared" si="6"/>
        <v>1.8280312740322997</v>
      </c>
      <c r="Z15">
        <v>0.19900000000000001</v>
      </c>
      <c r="AA15">
        <v>3</v>
      </c>
      <c r="AB15">
        <v>1.56</v>
      </c>
      <c r="AC15" s="1">
        <f t="shared" si="7"/>
        <v>0.49190683707474275</v>
      </c>
      <c r="AD15">
        <v>0.19500000000000001</v>
      </c>
      <c r="AE15">
        <v>0.30499999999999999</v>
      </c>
      <c r="AF15">
        <v>100</v>
      </c>
      <c r="AG15" s="1">
        <f t="shared" si="8"/>
        <v>63.934426229508205</v>
      </c>
      <c r="AH15">
        <v>0.54</v>
      </c>
      <c r="AI15">
        <v>1.355</v>
      </c>
      <c r="AJ15">
        <v>100</v>
      </c>
      <c r="AK15" s="1">
        <f t="shared" si="9"/>
        <v>39.852398523985244</v>
      </c>
    </row>
    <row r="16" spans="1:37" x14ac:dyDescent="0.25">
      <c r="A16" t="s">
        <v>39</v>
      </c>
      <c r="B16">
        <v>3.6999999999999998E-2</v>
      </c>
      <c r="C16">
        <v>0.35099999999999998</v>
      </c>
      <c r="D16">
        <v>5.81</v>
      </c>
      <c r="E16" s="1">
        <f t="shared" si="0"/>
        <v>0.6124501424501424</v>
      </c>
      <c r="F16">
        <v>3.4000000000000002E-2</v>
      </c>
      <c r="G16">
        <v>4.1000000000000002E-2</v>
      </c>
      <c r="H16">
        <v>4.2999999999999997E-2</v>
      </c>
      <c r="I16">
        <f t="shared" si="1"/>
        <v>3.9333333333333338E-2</v>
      </c>
      <c r="J16">
        <v>2.1999999999999999E-2</v>
      </c>
      <c r="K16">
        <v>100</v>
      </c>
      <c r="L16">
        <f t="shared" si="2"/>
        <v>44.067796610169502</v>
      </c>
      <c r="M16">
        <v>50</v>
      </c>
      <c r="N16" s="1">
        <f t="shared" si="3"/>
        <v>1.4390656007972737</v>
      </c>
      <c r="O16">
        <v>1.1779999999999999</v>
      </c>
      <c r="P16">
        <v>1.2150000000000001</v>
      </c>
      <c r="Q16">
        <v>1.2170000000000001</v>
      </c>
      <c r="R16">
        <f t="shared" si="4"/>
        <v>1.2033333333333334</v>
      </c>
      <c r="S16">
        <v>2.4</v>
      </c>
      <c r="T16">
        <v>4</v>
      </c>
      <c r="U16" s="1">
        <f t="shared" si="5"/>
        <v>1.1788714704377357</v>
      </c>
      <c r="V16">
        <v>0.34899999999999998</v>
      </c>
      <c r="W16">
        <v>1.84</v>
      </c>
      <c r="X16">
        <v>0.48</v>
      </c>
      <c r="Y16" s="1">
        <f t="shared" si="6"/>
        <v>2.1843954970460997</v>
      </c>
      <c r="Z16">
        <v>0.17399999999999999</v>
      </c>
      <c r="AA16">
        <v>3</v>
      </c>
      <c r="AB16">
        <v>1.56</v>
      </c>
      <c r="AC16" s="1">
        <f t="shared" si="7"/>
        <v>0.54635530539145005</v>
      </c>
      <c r="AD16">
        <v>0.188</v>
      </c>
      <c r="AE16">
        <v>0.30499999999999999</v>
      </c>
      <c r="AF16">
        <v>100</v>
      </c>
      <c r="AG16" s="1">
        <f t="shared" si="8"/>
        <v>61.639344262295083</v>
      </c>
      <c r="AH16">
        <v>0.45200000000000001</v>
      </c>
      <c r="AI16">
        <v>1.355</v>
      </c>
      <c r="AJ16">
        <v>100</v>
      </c>
      <c r="AK16" s="1">
        <f t="shared" si="9"/>
        <v>33.3579335793358</v>
      </c>
    </row>
    <row r="17" spans="1:37" x14ac:dyDescent="0.25">
      <c r="A17" t="s">
        <v>40</v>
      </c>
      <c r="B17">
        <v>4.5999999999999999E-2</v>
      </c>
      <c r="C17">
        <v>0.35099999999999998</v>
      </c>
      <c r="D17">
        <v>5.81</v>
      </c>
      <c r="E17" s="1">
        <f t="shared" si="0"/>
        <v>0.76142450142450135</v>
      </c>
      <c r="F17">
        <v>3.7999999999999999E-2</v>
      </c>
      <c r="G17">
        <v>4.7E-2</v>
      </c>
      <c r="H17">
        <v>4.7E-2</v>
      </c>
      <c r="I17">
        <f t="shared" si="1"/>
        <v>4.4000000000000004E-2</v>
      </c>
      <c r="J17">
        <v>2.1999999999999999E-2</v>
      </c>
      <c r="K17">
        <v>100</v>
      </c>
      <c r="L17">
        <f t="shared" si="2"/>
        <v>50.000000000000014</v>
      </c>
      <c r="M17">
        <v>50</v>
      </c>
      <c r="N17" s="1">
        <f t="shared" si="3"/>
        <v>1.3133278455436659</v>
      </c>
      <c r="O17">
        <v>1.272</v>
      </c>
      <c r="P17">
        <v>1.292</v>
      </c>
      <c r="Q17">
        <v>1.341</v>
      </c>
      <c r="R17">
        <f t="shared" si="4"/>
        <v>1.3016666666666667</v>
      </c>
      <c r="S17">
        <v>2.4</v>
      </c>
      <c r="T17">
        <v>4</v>
      </c>
      <c r="U17" s="1">
        <f t="shared" si="5"/>
        <v>1.0257090473696027</v>
      </c>
      <c r="V17">
        <v>0.41</v>
      </c>
      <c r="W17">
        <v>1.84</v>
      </c>
      <c r="X17">
        <v>0.48</v>
      </c>
      <c r="Y17" s="1">
        <f t="shared" si="6"/>
        <v>2.0641135972461275</v>
      </c>
      <c r="Z17">
        <v>0.13100000000000001</v>
      </c>
      <c r="AA17">
        <v>3</v>
      </c>
      <c r="AB17">
        <v>1.56</v>
      </c>
      <c r="AC17" s="1">
        <f t="shared" si="7"/>
        <v>0.33085759185811575</v>
      </c>
      <c r="AD17">
        <v>0.20399999999999999</v>
      </c>
      <c r="AE17">
        <v>0.30499999999999999</v>
      </c>
      <c r="AF17">
        <v>100</v>
      </c>
      <c r="AG17" s="1">
        <f t="shared" si="8"/>
        <v>66.885245901639351</v>
      </c>
      <c r="AH17">
        <v>0.48699999999999999</v>
      </c>
      <c r="AI17">
        <v>1.355</v>
      </c>
      <c r="AJ17">
        <v>100</v>
      </c>
      <c r="AK17" s="1">
        <f t="shared" si="9"/>
        <v>35.9409594095941</v>
      </c>
    </row>
    <row r="18" spans="1:37" x14ac:dyDescent="0.25">
      <c r="A18" t="s">
        <v>41</v>
      </c>
      <c r="B18">
        <v>4.1000000000000002E-2</v>
      </c>
      <c r="C18">
        <v>0.35099999999999998</v>
      </c>
      <c r="D18">
        <v>5.81</v>
      </c>
      <c r="E18" s="1">
        <f t="shared" si="0"/>
        <v>0.6786609686609687</v>
      </c>
      <c r="F18">
        <v>3.9E-2</v>
      </c>
      <c r="G18">
        <v>4.7E-2</v>
      </c>
      <c r="H18">
        <v>4.5999999999999999E-2</v>
      </c>
      <c r="I18">
        <f t="shared" si="1"/>
        <v>4.4000000000000004E-2</v>
      </c>
      <c r="J18">
        <v>2.1999999999999999E-2</v>
      </c>
      <c r="K18">
        <v>100</v>
      </c>
      <c r="L18">
        <f t="shared" si="2"/>
        <v>50.000000000000014</v>
      </c>
      <c r="M18">
        <v>50</v>
      </c>
      <c r="N18" s="1">
        <f t="shared" si="3"/>
        <v>1.4734897779270395</v>
      </c>
      <c r="O18">
        <v>1.1970000000000001</v>
      </c>
      <c r="P18">
        <v>1.2230000000000001</v>
      </c>
      <c r="Q18">
        <v>1.234</v>
      </c>
      <c r="R18">
        <f t="shared" si="4"/>
        <v>1.218</v>
      </c>
      <c r="S18">
        <v>2.4</v>
      </c>
      <c r="T18">
        <v>4</v>
      </c>
      <c r="U18" s="1">
        <f t="shared" si="5"/>
        <v>1.0768263297090801</v>
      </c>
      <c r="V18">
        <v>0.371</v>
      </c>
      <c r="W18">
        <v>1.84</v>
      </c>
      <c r="X18">
        <v>0.48</v>
      </c>
      <c r="Y18" s="1">
        <f t="shared" si="6"/>
        <v>2.095548045841904</v>
      </c>
      <c r="Z18">
        <v>6.9000000000000006E-2</v>
      </c>
      <c r="AA18">
        <v>3</v>
      </c>
      <c r="AB18">
        <v>1.56</v>
      </c>
      <c r="AC18" s="1">
        <f t="shared" si="7"/>
        <v>0.19552075899416482</v>
      </c>
      <c r="AD18">
        <v>0.20399999999999999</v>
      </c>
      <c r="AE18">
        <v>0.30499999999999999</v>
      </c>
      <c r="AF18">
        <v>100</v>
      </c>
      <c r="AG18" s="1">
        <f t="shared" si="8"/>
        <v>66.885245901639351</v>
      </c>
      <c r="AH18">
        <v>0.46</v>
      </c>
      <c r="AI18">
        <v>1.355</v>
      </c>
      <c r="AJ18">
        <v>100</v>
      </c>
      <c r="AK18" s="1">
        <f t="shared" si="9"/>
        <v>33.948339483394832</v>
      </c>
    </row>
    <row r="19" spans="1:37" x14ac:dyDescent="0.25">
      <c r="A19" t="s">
        <v>42</v>
      </c>
      <c r="B19">
        <v>4.4999999999999998E-2</v>
      </c>
      <c r="C19">
        <v>0.35099999999999998</v>
      </c>
      <c r="D19">
        <v>5.81</v>
      </c>
      <c r="E19" s="1">
        <f t="shared" si="0"/>
        <v>0.74487179487179489</v>
      </c>
      <c r="F19">
        <v>4.1000000000000002E-2</v>
      </c>
      <c r="G19">
        <v>5.0999999999999997E-2</v>
      </c>
      <c r="H19">
        <v>0.05</v>
      </c>
      <c r="I19">
        <f t="shared" si="1"/>
        <v>4.7333333333333338E-2</v>
      </c>
      <c r="J19">
        <v>2.1999999999999999E-2</v>
      </c>
      <c r="K19">
        <v>100</v>
      </c>
      <c r="L19">
        <f t="shared" si="2"/>
        <v>53.521126760563384</v>
      </c>
      <c r="M19">
        <v>50</v>
      </c>
      <c r="N19" s="1">
        <f t="shared" si="3"/>
        <v>1.437056071367967</v>
      </c>
      <c r="O19">
        <v>0.86199999999999999</v>
      </c>
      <c r="P19">
        <v>1.0649999999999999</v>
      </c>
      <c r="Q19">
        <v>1.403</v>
      </c>
      <c r="R19">
        <f t="shared" si="4"/>
        <v>1.1100000000000001</v>
      </c>
      <c r="S19">
        <v>2.4</v>
      </c>
      <c r="T19">
        <v>4</v>
      </c>
      <c r="U19" s="1">
        <f t="shared" si="5"/>
        <v>0.89411359724612738</v>
      </c>
      <c r="V19">
        <v>0.38500000000000001</v>
      </c>
      <c r="W19">
        <v>1.84</v>
      </c>
      <c r="X19">
        <v>0.48</v>
      </c>
      <c r="Y19" s="1">
        <f t="shared" si="6"/>
        <v>1.9813253012048193</v>
      </c>
      <c r="Z19">
        <v>0.06</v>
      </c>
      <c r="AA19">
        <v>3</v>
      </c>
      <c r="AB19">
        <v>1.56</v>
      </c>
      <c r="AC19" s="1">
        <f t="shared" si="7"/>
        <v>0.15490533562822717</v>
      </c>
      <c r="AD19">
        <v>0.22800000000000001</v>
      </c>
      <c r="AE19">
        <v>0.30499999999999999</v>
      </c>
      <c r="AF19">
        <v>100</v>
      </c>
      <c r="AG19" s="1">
        <f t="shared" si="8"/>
        <v>74.754098360655746</v>
      </c>
      <c r="AH19">
        <v>0.40500000000000003</v>
      </c>
      <c r="AI19">
        <v>1.355</v>
      </c>
      <c r="AJ19">
        <v>100</v>
      </c>
      <c r="AK19" s="1">
        <f t="shared" si="9"/>
        <v>29.889298892988929</v>
      </c>
    </row>
    <row r="20" spans="1:37" x14ac:dyDescent="0.25">
      <c r="A20" t="s">
        <v>43</v>
      </c>
      <c r="B20">
        <v>4.5999999999999999E-2</v>
      </c>
      <c r="C20">
        <v>0.35099999999999998</v>
      </c>
      <c r="D20">
        <v>5.81</v>
      </c>
      <c r="E20" s="1">
        <f t="shared" si="0"/>
        <v>0.76142450142450135</v>
      </c>
      <c r="F20">
        <v>3.4000000000000002E-2</v>
      </c>
      <c r="G20">
        <v>4.4999999999999998E-2</v>
      </c>
      <c r="H20">
        <v>4.4999999999999998E-2</v>
      </c>
      <c r="I20">
        <f t="shared" si="1"/>
        <v>4.1333333333333333E-2</v>
      </c>
      <c r="J20">
        <v>2.1999999999999999E-2</v>
      </c>
      <c r="K20">
        <v>100</v>
      </c>
      <c r="L20">
        <f t="shared" si="2"/>
        <v>46.774193548387103</v>
      </c>
      <c r="M20">
        <v>50</v>
      </c>
      <c r="N20" s="1">
        <f t="shared" si="3"/>
        <v>1.2285970167989131</v>
      </c>
      <c r="O20">
        <v>1.3280000000000001</v>
      </c>
      <c r="P20">
        <v>1.331</v>
      </c>
      <c r="Q20">
        <v>1.3440000000000001</v>
      </c>
      <c r="R20">
        <f t="shared" si="4"/>
        <v>1.3343333333333334</v>
      </c>
      <c r="S20">
        <v>2.4</v>
      </c>
      <c r="T20">
        <v>4</v>
      </c>
      <c r="U20" s="1">
        <f t="shared" si="5"/>
        <v>1.0514502731422586</v>
      </c>
      <c r="V20">
        <v>0.31900000000000001</v>
      </c>
      <c r="W20">
        <v>1.84</v>
      </c>
      <c r="X20">
        <v>0.48</v>
      </c>
      <c r="Y20" s="1">
        <f t="shared" si="6"/>
        <v>1.6059810671256456</v>
      </c>
      <c r="Z20">
        <v>3.3000000000000002E-2</v>
      </c>
      <c r="AA20">
        <v>3</v>
      </c>
      <c r="AB20">
        <v>1.56</v>
      </c>
      <c r="AC20" s="1">
        <f t="shared" si="7"/>
        <v>8.3345805582578772E-2</v>
      </c>
      <c r="AD20">
        <v>0.19900000000000001</v>
      </c>
      <c r="AE20">
        <v>0.30499999999999999</v>
      </c>
      <c r="AF20">
        <v>100</v>
      </c>
      <c r="AG20" s="1">
        <f t="shared" si="8"/>
        <v>65.245901639344268</v>
      </c>
      <c r="AH20">
        <v>0.53</v>
      </c>
      <c r="AI20">
        <v>1.355</v>
      </c>
      <c r="AJ20">
        <v>100</v>
      </c>
      <c r="AK20" s="1">
        <f t="shared" si="9"/>
        <v>39.11439114391144</v>
      </c>
    </row>
    <row r="21" spans="1:37" x14ac:dyDescent="0.25">
      <c r="A21" t="s">
        <v>44</v>
      </c>
      <c r="B21">
        <v>5.0999999999999997E-2</v>
      </c>
      <c r="C21">
        <v>0.35099999999999998</v>
      </c>
      <c r="D21">
        <v>5.81</v>
      </c>
      <c r="E21" s="1">
        <f t="shared" si="0"/>
        <v>0.84418803418803423</v>
      </c>
      <c r="F21">
        <v>3.7999999999999999E-2</v>
      </c>
      <c r="G21">
        <v>4.9000000000000002E-2</v>
      </c>
      <c r="H21">
        <v>4.8000000000000001E-2</v>
      </c>
      <c r="I21">
        <f t="shared" si="1"/>
        <v>4.5000000000000005E-2</v>
      </c>
      <c r="J21">
        <v>2.1999999999999999E-2</v>
      </c>
      <c r="K21">
        <v>100</v>
      </c>
      <c r="L21">
        <f t="shared" si="2"/>
        <v>51.111111111111121</v>
      </c>
      <c r="M21">
        <v>50</v>
      </c>
      <c r="N21" s="1">
        <f t="shared" si="3"/>
        <v>1.2108939961526781</v>
      </c>
      <c r="O21">
        <v>1.244</v>
      </c>
      <c r="P21">
        <v>1.2829999999999999</v>
      </c>
      <c r="Q21">
        <v>1.349</v>
      </c>
      <c r="R21">
        <f t="shared" si="4"/>
        <v>1.292</v>
      </c>
      <c r="S21">
        <v>2.4</v>
      </c>
      <c r="T21">
        <v>4</v>
      </c>
      <c r="U21" s="1">
        <f t="shared" si="5"/>
        <v>0.91827882960413076</v>
      </c>
      <c r="V21">
        <v>0.65400000000000003</v>
      </c>
      <c r="W21">
        <v>1.84</v>
      </c>
      <c r="X21">
        <v>0.48</v>
      </c>
      <c r="Y21" s="1">
        <f t="shared" si="6"/>
        <v>2.9697175255644428</v>
      </c>
      <c r="Z21">
        <v>6.9000000000000006E-2</v>
      </c>
      <c r="AA21">
        <v>3</v>
      </c>
      <c r="AB21">
        <v>1.56</v>
      </c>
      <c r="AC21" s="1">
        <f t="shared" si="7"/>
        <v>0.15718335526981878</v>
      </c>
      <c r="AD21">
        <v>0.22700000000000001</v>
      </c>
      <c r="AE21">
        <v>0.30499999999999999</v>
      </c>
      <c r="AF21">
        <v>100</v>
      </c>
      <c r="AG21" s="1">
        <f t="shared" si="8"/>
        <v>74.426229508196727</v>
      </c>
      <c r="AH21">
        <v>0.55500000000000005</v>
      </c>
      <c r="AI21">
        <v>1.355</v>
      </c>
      <c r="AJ21">
        <v>100</v>
      </c>
      <c r="AK21" s="1">
        <f t="shared" si="9"/>
        <v>40.959409594095945</v>
      </c>
    </row>
    <row r="22" spans="1:37" x14ac:dyDescent="0.25">
      <c r="A22" t="s">
        <v>45</v>
      </c>
      <c r="B22">
        <v>5.1999999999999998E-2</v>
      </c>
      <c r="C22">
        <v>0.35099999999999998</v>
      </c>
      <c r="D22">
        <v>5.81</v>
      </c>
      <c r="E22" s="1">
        <f t="shared" si="0"/>
        <v>0.86074074074074058</v>
      </c>
      <c r="F22">
        <v>3.6999999999999998E-2</v>
      </c>
      <c r="G22">
        <v>0.05</v>
      </c>
      <c r="H22">
        <v>0.05</v>
      </c>
      <c r="I22">
        <f t="shared" si="1"/>
        <v>4.5666666666666668E-2</v>
      </c>
      <c r="J22">
        <v>2.1999999999999999E-2</v>
      </c>
      <c r="K22">
        <v>100</v>
      </c>
      <c r="L22">
        <f t="shared" si="2"/>
        <v>51.824817518248182</v>
      </c>
      <c r="M22">
        <v>50</v>
      </c>
      <c r="N22" s="1">
        <f t="shared" si="3"/>
        <v>1.2041911127303797</v>
      </c>
      <c r="O22">
        <v>1.373</v>
      </c>
      <c r="P22">
        <v>1.3819999999999999</v>
      </c>
      <c r="Q22">
        <v>1.385</v>
      </c>
      <c r="R22">
        <f t="shared" si="4"/>
        <v>1.38</v>
      </c>
      <c r="S22">
        <v>2.4</v>
      </c>
      <c r="T22">
        <v>4</v>
      </c>
      <c r="U22" s="1">
        <f t="shared" si="5"/>
        <v>0.96196213425129096</v>
      </c>
      <c r="V22">
        <v>0.436</v>
      </c>
      <c r="W22">
        <v>1.84</v>
      </c>
      <c r="X22">
        <v>0.48</v>
      </c>
      <c r="Y22" s="1">
        <f t="shared" si="6"/>
        <v>1.9417383820998286</v>
      </c>
      <c r="Z22">
        <v>4.2000000000000003E-2</v>
      </c>
      <c r="AA22">
        <v>3</v>
      </c>
      <c r="AB22">
        <v>1.56</v>
      </c>
      <c r="AC22" s="1">
        <f t="shared" si="7"/>
        <v>9.3836886005560727E-2</v>
      </c>
      <c r="AD22">
        <v>0.20399999999999999</v>
      </c>
      <c r="AE22">
        <v>0.30499999999999999</v>
      </c>
      <c r="AF22">
        <v>100</v>
      </c>
      <c r="AG22" s="1">
        <f t="shared" si="8"/>
        <v>66.885245901639351</v>
      </c>
      <c r="AH22">
        <v>0.63700000000000001</v>
      </c>
      <c r="AI22">
        <v>1.355</v>
      </c>
      <c r="AJ22">
        <v>100</v>
      </c>
      <c r="AK22" s="1">
        <f t="shared" si="9"/>
        <v>47.011070110701105</v>
      </c>
    </row>
    <row r="23" spans="1:37" x14ac:dyDescent="0.25">
      <c r="A23" t="s">
        <v>46</v>
      </c>
      <c r="B23">
        <v>3.6999999999999998E-2</v>
      </c>
      <c r="C23">
        <v>0.35099999999999998</v>
      </c>
      <c r="D23">
        <v>5.81</v>
      </c>
      <c r="E23" s="1">
        <f t="shared" si="0"/>
        <v>0.6124501424501424</v>
      </c>
      <c r="F23">
        <v>4.1000000000000002E-2</v>
      </c>
      <c r="G23">
        <v>5.0999999999999997E-2</v>
      </c>
      <c r="H23">
        <v>5.1999999999999998E-2</v>
      </c>
      <c r="I23">
        <f t="shared" si="1"/>
        <v>4.7999999999999994E-2</v>
      </c>
      <c r="J23">
        <v>2.1999999999999999E-2</v>
      </c>
      <c r="K23">
        <v>100</v>
      </c>
      <c r="L23">
        <f t="shared" si="2"/>
        <v>54.166666666666664</v>
      </c>
      <c r="M23">
        <v>50</v>
      </c>
      <c r="N23" s="1">
        <f t="shared" si="3"/>
        <v>1.7688514676466485</v>
      </c>
      <c r="O23">
        <v>1.413</v>
      </c>
      <c r="P23">
        <v>1.417</v>
      </c>
      <c r="Q23">
        <v>1.411</v>
      </c>
      <c r="R23">
        <f t="shared" si="4"/>
        <v>1.4136666666666666</v>
      </c>
      <c r="S23">
        <v>2.4</v>
      </c>
      <c r="T23">
        <v>4</v>
      </c>
      <c r="U23" s="1">
        <f t="shared" si="5"/>
        <v>1.3849290598688189</v>
      </c>
      <c r="V23">
        <v>0.47599999999999998</v>
      </c>
      <c r="W23">
        <v>1.84</v>
      </c>
      <c r="X23">
        <v>0.48</v>
      </c>
      <c r="Y23" s="1">
        <f t="shared" si="6"/>
        <v>2.9792901335070012</v>
      </c>
      <c r="Z23">
        <v>2.3E-2</v>
      </c>
      <c r="AA23">
        <v>3</v>
      </c>
      <c r="AB23">
        <v>1.56</v>
      </c>
      <c r="AC23" s="1">
        <f t="shared" si="7"/>
        <v>7.2219379448295123E-2</v>
      </c>
      <c r="AD23">
        <v>0.20899999999999999</v>
      </c>
      <c r="AE23">
        <v>0.30499999999999999</v>
      </c>
      <c r="AF23">
        <v>100</v>
      </c>
      <c r="AG23" s="1">
        <f t="shared" si="8"/>
        <v>68.524590163934434</v>
      </c>
      <c r="AH23">
        <v>0.38200000000000001</v>
      </c>
      <c r="AI23">
        <v>1.355</v>
      </c>
      <c r="AJ23">
        <v>100</v>
      </c>
      <c r="AK23" s="1">
        <f t="shared" si="9"/>
        <v>28.191881918819188</v>
      </c>
    </row>
    <row r="24" spans="1:37" x14ac:dyDescent="0.25">
      <c r="A24" t="s">
        <v>47</v>
      </c>
      <c r="B24">
        <v>3.7999999999999999E-2</v>
      </c>
      <c r="C24">
        <v>0.35099999999999998</v>
      </c>
      <c r="D24">
        <v>5.81</v>
      </c>
      <c r="E24" s="1">
        <f t="shared" si="0"/>
        <v>0.62900284900284897</v>
      </c>
      <c r="F24">
        <v>4.2000000000000003E-2</v>
      </c>
      <c r="G24">
        <v>5.2999999999999999E-2</v>
      </c>
      <c r="H24">
        <v>5.2999999999999999E-2</v>
      </c>
      <c r="I24">
        <f t="shared" si="1"/>
        <v>4.9333333333333333E-2</v>
      </c>
      <c r="J24">
        <v>2.1999999999999999E-2</v>
      </c>
      <c r="K24">
        <v>100</v>
      </c>
      <c r="L24">
        <f t="shared" si="2"/>
        <v>55.405405405405403</v>
      </c>
      <c r="M24">
        <v>50</v>
      </c>
      <c r="N24" s="1">
        <f t="shared" si="3"/>
        <v>1.7616901256723705</v>
      </c>
      <c r="O24">
        <v>1.387</v>
      </c>
      <c r="P24">
        <v>1.3979999999999999</v>
      </c>
      <c r="Q24">
        <v>1.405</v>
      </c>
      <c r="R24">
        <f t="shared" si="4"/>
        <v>1.3966666666666667</v>
      </c>
      <c r="S24">
        <v>2.4</v>
      </c>
      <c r="T24">
        <v>4</v>
      </c>
      <c r="U24" s="1">
        <f t="shared" si="5"/>
        <v>1.3322674155267686</v>
      </c>
      <c r="V24">
        <v>0.498</v>
      </c>
      <c r="W24">
        <v>1.84</v>
      </c>
      <c r="X24">
        <v>0.48</v>
      </c>
      <c r="Y24" s="1">
        <f t="shared" si="6"/>
        <v>3.0349624060150378</v>
      </c>
      <c r="Z24">
        <v>0.111</v>
      </c>
      <c r="AA24">
        <v>3</v>
      </c>
      <c r="AB24">
        <v>1.56</v>
      </c>
      <c r="AC24" s="1">
        <f t="shared" si="7"/>
        <v>0.33936497871183985</v>
      </c>
      <c r="AD24">
        <v>0.217</v>
      </c>
      <c r="AE24">
        <v>0.30499999999999999</v>
      </c>
      <c r="AF24">
        <v>100</v>
      </c>
      <c r="AG24" s="1">
        <f t="shared" si="8"/>
        <v>71.147540983606561</v>
      </c>
      <c r="AH24">
        <v>0.43099999999999999</v>
      </c>
      <c r="AI24">
        <v>1.355</v>
      </c>
      <c r="AJ24">
        <v>100</v>
      </c>
      <c r="AK24" s="1">
        <f t="shared" si="9"/>
        <v>31.808118081180815</v>
      </c>
    </row>
    <row r="25" spans="1:37" x14ac:dyDescent="0.25">
      <c r="A25" t="s">
        <v>48</v>
      </c>
      <c r="B25">
        <v>3.5999999999999997E-2</v>
      </c>
      <c r="C25">
        <v>0.35099999999999998</v>
      </c>
      <c r="D25">
        <v>5.81</v>
      </c>
      <c r="E25" s="1">
        <f t="shared" si="0"/>
        <v>0.59589743589743582</v>
      </c>
      <c r="F25">
        <v>5.8999999999999997E-2</v>
      </c>
      <c r="G25">
        <v>0.05</v>
      </c>
      <c r="H25">
        <v>0.05</v>
      </c>
      <c r="I25">
        <f t="shared" si="1"/>
        <v>5.2999999999999999E-2</v>
      </c>
      <c r="J25">
        <v>2.1999999999999999E-2</v>
      </c>
      <c r="K25">
        <v>100</v>
      </c>
      <c r="L25">
        <f t="shared" si="2"/>
        <v>58.490566037735846</v>
      </c>
      <c r="M25">
        <v>50</v>
      </c>
      <c r="N25" s="1">
        <f t="shared" si="3"/>
        <v>1.963108498684766</v>
      </c>
      <c r="O25">
        <v>1.3080000000000001</v>
      </c>
      <c r="P25">
        <v>1.2849999999999999</v>
      </c>
      <c r="Q25">
        <v>1.31</v>
      </c>
      <c r="R25">
        <f t="shared" si="4"/>
        <v>1.3009999999999999</v>
      </c>
      <c r="S25">
        <v>2.4</v>
      </c>
      <c r="T25">
        <v>4</v>
      </c>
      <c r="U25" s="1">
        <f t="shared" si="5"/>
        <v>1.3099569707401033</v>
      </c>
      <c r="V25">
        <v>0.42899999999999999</v>
      </c>
      <c r="W25">
        <v>1.84</v>
      </c>
      <c r="X25">
        <v>0.48</v>
      </c>
      <c r="Y25" s="1">
        <f t="shared" si="6"/>
        <v>2.759703098106713</v>
      </c>
      <c r="Z25">
        <v>0.114</v>
      </c>
      <c r="AA25">
        <v>3</v>
      </c>
      <c r="AB25">
        <v>1.56</v>
      </c>
      <c r="AC25" s="1">
        <f t="shared" si="7"/>
        <v>0.36790017211703968</v>
      </c>
      <c r="AD25">
        <v>0.21299999999999999</v>
      </c>
      <c r="AE25">
        <v>0.30499999999999999</v>
      </c>
      <c r="AF25">
        <v>100</v>
      </c>
      <c r="AG25" s="1">
        <f t="shared" si="8"/>
        <v>69.836065573770483</v>
      </c>
      <c r="AH25">
        <v>0.38400000000000001</v>
      </c>
      <c r="AI25">
        <v>1.355</v>
      </c>
      <c r="AJ25">
        <v>100</v>
      </c>
      <c r="AK25" s="1">
        <f t="shared" si="9"/>
        <v>28.339483394833948</v>
      </c>
    </row>
    <row r="26" spans="1:37" x14ac:dyDescent="0.25">
      <c r="A26" t="s">
        <v>49</v>
      </c>
      <c r="B26">
        <v>4.1000000000000002E-2</v>
      </c>
      <c r="C26">
        <v>0.35099999999999998</v>
      </c>
      <c r="D26">
        <v>5.81</v>
      </c>
      <c r="E26" s="1">
        <f t="shared" si="0"/>
        <v>0.6786609686609687</v>
      </c>
      <c r="F26">
        <v>0.04</v>
      </c>
      <c r="G26">
        <v>4.9000000000000002E-2</v>
      </c>
      <c r="H26">
        <v>0.05</v>
      </c>
      <c r="I26">
        <f t="shared" si="1"/>
        <v>4.6333333333333337E-2</v>
      </c>
      <c r="J26">
        <v>2.1999999999999999E-2</v>
      </c>
      <c r="K26">
        <v>100</v>
      </c>
      <c r="L26">
        <f t="shared" si="2"/>
        <v>52.517985611510795</v>
      </c>
      <c r="M26">
        <v>50</v>
      </c>
      <c r="N26" s="1">
        <f t="shared" si="3"/>
        <v>1.5476942991176095</v>
      </c>
      <c r="O26">
        <v>1.373</v>
      </c>
      <c r="P26">
        <v>1.385</v>
      </c>
      <c r="Q26">
        <v>1.391</v>
      </c>
      <c r="R26">
        <f t="shared" si="4"/>
        <v>1.383</v>
      </c>
      <c r="S26">
        <v>2.4</v>
      </c>
      <c r="T26">
        <v>4</v>
      </c>
      <c r="U26" s="1">
        <f t="shared" si="5"/>
        <v>1.2227018177238571</v>
      </c>
      <c r="V26">
        <v>0.42599999999999999</v>
      </c>
      <c r="W26">
        <v>1.84</v>
      </c>
      <c r="X26">
        <v>0.48</v>
      </c>
      <c r="Y26" s="1">
        <f t="shared" si="6"/>
        <v>2.4062088073548549</v>
      </c>
      <c r="Z26">
        <v>0.14099999999999999</v>
      </c>
      <c r="AA26">
        <v>3</v>
      </c>
      <c r="AB26">
        <v>1.56</v>
      </c>
      <c r="AC26" s="1">
        <f t="shared" si="7"/>
        <v>0.39954242055329325</v>
      </c>
      <c r="AD26">
        <v>0.21099999999999999</v>
      </c>
      <c r="AE26">
        <v>0.30499999999999999</v>
      </c>
      <c r="AF26">
        <v>100</v>
      </c>
      <c r="AG26" s="1">
        <f t="shared" si="8"/>
        <v>69.180327868852459</v>
      </c>
      <c r="AH26">
        <v>0.54</v>
      </c>
      <c r="AI26">
        <v>1.355</v>
      </c>
      <c r="AJ26">
        <v>100</v>
      </c>
      <c r="AK26" s="1">
        <f t="shared" si="9"/>
        <v>39.852398523985244</v>
      </c>
    </row>
    <row r="27" spans="1:37" x14ac:dyDescent="0.25">
      <c r="A27" t="s">
        <v>50</v>
      </c>
      <c r="B27">
        <v>0.04</v>
      </c>
      <c r="C27">
        <v>0.35099999999999998</v>
      </c>
      <c r="D27">
        <v>5.81</v>
      </c>
      <c r="E27" s="1">
        <f t="shared" si="0"/>
        <v>0.66210826210826212</v>
      </c>
      <c r="F27">
        <v>3.5999999999999997E-2</v>
      </c>
      <c r="G27">
        <v>4.3999999999999997E-2</v>
      </c>
      <c r="H27">
        <v>4.4999999999999998E-2</v>
      </c>
      <c r="I27">
        <f t="shared" si="1"/>
        <v>4.1666666666666664E-2</v>
      </c>
      <c r="J27">
        <v>2.1999999999999999E-2</v>
      </c>
      <c r="K27">
        <v>100</v>
      </c>
      <c r="L27">
        <f t="shared" si="2"/>
        <v>47.199999999999996</v>
      </c>
      <c r="M27">
        <v>50</v>
      </c>
      <c r="N27" s="1">
        <f t="shared" si="3"/>
        <v>1.425748709122203</v>
      </c>
      <c r="O27">
        <v>1.2110000000000001</v>
      </c>
      <c r="P27">
        <v>1.2410000000000001</v>
      </c>
      <c r="Q27">
        <v>1.3129999999999999</v>
      </c>
      <c r="R27">
        <f t="shared" si="4"/>
        <v>1.2549999999999999</v>
      </c>
      <c r="S27">
        <v>2.4</v>
      </c>
      <c r="T27">
        <v>4</v>
      </c>
      <c r="U27" s="1">
        <f t="shared" si="5"/>
        <v>1.1372762478485368</v>
      </c>
      <c r="V27">
        <v>0.29599999999999999</v>
      </c>
      <c r="W27">
        <v>1.84</v>
      </c>
      <c r="X27">
        <v>0.48</v>
      </c>
      <c r="Y27" s="1">
        <f t="shared" si="6"/>
        <v>1.7137177280550775</v>
      </c>
      <c r="Z27">
        <v>0.109</v>
      </c>
      <c r="AA27">
        <v>3</v>
      </c>
      <c r="AB27">
        <v>1.56</v>
      </c>
      <c r="AC27" s="1">
        <f t="shared" si="7"/>
        <v>0.31658777969018931</v>
      </c>
      <c r="AD27">
        <v>0.219</v>
      </c>
      <c r="AE27">
        <v>0.30499999999999999</v>
      </c>
      <c r="AF27">
        <v>100</v>
      </c>
      <c r="AG27" s="1">
        <f t="shared" si="8"/>
        <v>71.8032786885246</v>
      </c>
      <c r="AH27">
        <v>0.31900000000000001</v>
      </c>
      <c r="AI27">
        <v>1.355</v>
      </c>
      <c r="AJ27">
        <v>100</v>
      </c>
      <c r="AK27" s="1">
        <f t="shared" si="9"/>
        <v>23.542435424354245</v>
      </c>
    </row>
    <row r="28" spans="1:37" x14ac:dyDescent="0.25">
      <c r="A28" t="s">
        <v>51</v>
      </c>
      <c r="B28">
        <v>0.05</v>
      </c>
      <c r="C28">
        <v>0.35099999999999998</v>
      </c>
      <c r="D28">
        <v>5.81</v>
      </c>
      <c r="E28" s="1">
        <f t="shared" si="0"/>
        <v>0.82763532763532754</v>
      </c>
      <c r="F28">
        <v>4.2000000000000003E-2</v>
      </c>
      <c r="G28">
        <v>4.8000000000000001E-2</v>
      </c>
      <c r="H28">
        <v>4.8000000000000001E-2</v>
      </c>
      <c r="I28">
        <f t="shared" si="1"/>
        <v>4.6000000000000006E-2</v>
      </c>
      <c r="J28">
        <v>2.1999999999999999E-2</v>
      </c>
      <c r="K28">
        <v>100</v>
      </c>
      <c r="L28">
        <f t="shared" si="2"/>
        <v>52.173913043478272</v>
      </c>
      <c r="M28">
        <v>50</v>
      </c>
      <c r="N28" s="1">
        <f t="shared" si="3"/>
        <v>1.2607947317219192</v>
      </c>
      <c r="O28">
        <v>1.3620000000000001</v>
      </c>
      <c r="P28">
        <v>1.3420000000000001</v>
      </c>
      <c r="Q28">
        <v>1.371</v>
      </c>
      <c r="R28">
        <f t="shared" si="4"/>
        <v>1.3583333333333334</v>
      </c>
      <c r="S28">
        <v>2.4</v>
      </c>
      <c r="T28">
        <v>4</v>
      </c>
      <c r="U28" s="1">
        <f t="shared" si="5"/>
        <v>0.98473321858864049</v>
      </c>
      <c r="V28">
        <v>0.40600000000000003</v>
      </c>
      <c r="W28">
        <v>1.84</v>
      </c>
      <c r="X28">
        <v>0.48</v>
      </c>
      <c r="Y28" s="1">
        <f t="shared" si="6"/>
        <v>1.8804578313253015</v>
      </c>
      <c r="Z28">
        <v>3.4000000000000002E-2</v>
      </c>
      <c r="AA28">
        <v>3</v>
      </c>
      <c r="AB28">
        <v>1.56</v>
      </c>
      <c r="AC28" s="1">
        <f t="shared" si="7"/>
        <v>7.9001721170395875E-2</v>
      </c>
      <c r="AD28">
        <v>0.2</v>
      </c>
      <c r="AE28">
        <v>0.30499999999999999</v>
      </c>
      <c r="AF28">
        <v>100</v>
      </c>
      <c r="AG28" s="1">
        <f t="shared" si="8"/>
        <v>65.573770491803288</v>
      </c>
      <c r="AH28">
        <v>0.36399999999999999</v>
      </c>
      <c r="AI28">
        <v>1.355</v>
      </c>
      <c r="AJ28">
        <v>100</v>
      </c>
      <c r="AK28" s="1">
        <f t="shared" si="9"/>
        <v>26.863468634686345</v>
      </c>
    </row>
    <row r="29" spans="1:37" x14ac:dyDescent="0.25">
      <c r="A29" t="s">
        <v>52</v>
      </c>
      <c r="B29">
        <v>7.1999999999999995E-2</v>
      </c>
      <c r="C29">
        <v>0.35099999999999998</v>
      </c>
      <c r="D29">
        <v>5.81</v>
      </c>
      <c r="E29" s="1">
        <f t="shared" si="0"/>
        <v>1.1917948717948716</v>
      </c>
      <c r="F29">
        <v>4.4999999999999998E-2</v>
      </c>
      <c r="G29">
        <v>5.3999999999999999E-2</v>
      </c>
      <c r="H29">
        <v>5.2999999999999999E-2</v>
      </c>
      <c r="I29">
        <f t="shared" si="1"/>
        <v>5.0666666666666665E-2</v>
      </c>
      <c r="J29">
        <v>2.1999999999999999E-2</v>
      </c>
      <c r="K29">
        <v>100</v>
      </c>
      <c r="L29">
        <f t="shared" si="2"/>
        <v>56.578947368421048</v>
      </c>
      <c r="M29">
        <v>50</v>
      </c>
      <c r="N29" s="1">
        <f t="shared" si="3"/>
        <v>0.94947459008968205</v>
      </c>
      <c r="O29">
        <v>1.3540000000000001</v>
      </c>
      <c r="P29">
        <v>1.361</v>
      </c>
      <c r="Q29">
        <v>1.385</v>
      </c>
      <c r="R29">
        <f t="shared" si="4"/>
        <v>1.3666666666666665</v>
      </c>
      <c r="S29">
        <v>2.4</v>
      </c>
      <c r="T29">
        <v>4</v>
      </c>
      <c r="U29" s="1">
        <f t="shared" si="5"/>
        <v>0.68803786574870907</v>
      </c>
      <c r="V29">
        <v>0.45800000000000002</v>
      </c>
      <c r="W29">
        <v>1.84</v>
      </c>
      <c r="X29">
        <v>0.48</v>
      </c>
      <c r="Y29" s="1">
        <f t="shared" si="6"/>
        <v>1.4731282271944925</v>
      </c>
      <c r="Z29">
        <v>2.4E-2</v>
      </c>
      <c r="AA29">
        <v>3</v>
      </c>
      <c r="AB29">
        <v>1.56</v>
      </c>
      <c r="AC29" s="1">
        <f t="shared" si="7"/>
        <v>3.8726333907056806E-2</v>
      </c>
      <c r="AD29">
        <v>0.187</v>
      </c>
      <c r="AE29">
        <v>0.30499999999999999</v>
      </c>
      <c r="AF29">
        <v>100</v>
      </c>
      <c r="AG29" s="1">
        <f t="shared" si="8"/>
        <v>61.311475409836071</v>
      </c>
      <c r="AH29">
        <v>0.45600000000000002</v>
      </c>
      <c r="AI29">
        <v>1.355</v>
      </c>
      <c r="AJ29">
        <v>100</v>
      </c>
      <c r="AK29" s="1">
        <f t="shared" si="9"/>
        <v>33.653136531365313</v>
      </c>
    </row>
    <row r="30" spans="1:37" x14ac:dyDescent="0.25">
      <c r="A30" t="s">
        <v>53</v>
      </c>
      <c r="B30">
        <v>4.5999999999999999E-2</v>
      </c>
      <c r="C30">
        <v>0.35099999999999998</v>
      </c>
      <c r="D30">
        <v>5.81</v>
      </c>
      <c r="E30" s="1">
        <f t="shared" si="0"/>
        <v>0.76142450142450135</v>
      </c>
      <c r="F30">
        <v>4.2000000000000003E-2</v>
      </c>
      <c r="G30">
        <v>5.2999999999999999E-2</v>
      </c>
      <c r="H30">
        <v>5.1999999999999998E-2</v>
      </c>
      <c r="I30">
        <f t="shared" si="1"/>
        <v>4.8999999999999995E-2</v>
      </c>
      <c r="J30">
        <v>2.1999999999999999E-2</v>
      </c>
      <c r="K30">
        <v>100</v>
      </c>
      <c r="L30">
        <f t="shared" si="2"/>
        <v>55.102040816326522</v>
      </c>
      <c r="M30">
        <v>50</v>
      </c>
      <c r="N30" s="1">
        <f t="shared" si="3"/>
        <v>1.4473408910073047</v>
      </c>
      <c r="O30">
        <v>1.413</v>
      </c>
      <c r="P30">
        <v>1.4019999999999999</v>
      </c>
      <c r="Q30">
        <v>1.405</v>
      </c>
      <c r="R30">
        <f t="shared" si="4"/>
        <v>1.4066666666666665</v>
      </c>
      <c r="S30">
        <v>2.4</v>
      </c>
      <c r="T30">
        <v>4</v>
      </c>
      <c r="U30" s="1">
        <f t="shared" si="5"/>
        <v>1.1084487016388536</v>
      </c>
      <c r="V30">
        <v>0.51500000000000001</v>
      </c>
      <c r="W30">
        <v>1.84</v>
      </c>
      <c r="X30">
        <v>0.48</v>
      </c>
      <c r="Y30" s="1">
        <f t="shared" si="6"/>
        <v>2.5927280550774534</v>
      </c>
      <c r="Z30">
        <v>2.1000000000000001E-2</v>
      </c>
      <c r="AA30">
        <v>3</v>
      </c>
      <c r="AB30">
        <v>1.56</v>
      </c>
      <c r="AC30" s="1">
        <f t="shared" si="7"/>
        <v>5.3038239916186489E-2</v>
      </c>
      <c r="AD30">
        <v>0.19</v>
      </c>
      <c r="AE30">
        <v>0.30499999999999999</v>
      </c>
      <c r="AF30">
        <v>100</v>
      </c>
      <c r="AG30" s="1">
        <f t="shared" si="8"/>
        <v>62.295081967213115</v>
      </c>
      <c r="AH30">
        <v>0.47799999999999998</v>
      </c>
      <c r="AI30">
        <v>1.355</v>
      </c>
      <c r="AJ30">
        <v>100</v>
      </c>
      <c r="AK30" s="1">
        <f t="shared" si="9"/>
        <v>35.276752767527675</v>
      </c>
    </row>
    <row r="31" spans="1:37" x14ac:dyDescent="0.25">
      <c r="A31" t="s">
        <v>54</v>
      </c>
      <c r="B31">
        <v>4.8000000000000001E-2</v>
      </c>
      <c r="C31">
        <v>0.35099999999999998</v>
      </c>
      <c r="D31">
        <v>5.81</v>
      </c>
      <c r="E31" s="1">
        <f t="shared" si="0"/>
        <v>0.7945299145299145</v>
      </c>
      <c r="F31">
        <v>4.2000000000000003E-2</v>
      </c>
      <c r="G31">
        <v>5.2999999999999999E-2</v>
      </c>
      <c r="H31">
        <v>5.1999999999999998E-2</v>
      </c>
      <c r="I31">
        <f t="shared" si="1"/>
        <v>4.8999999999999995E-2</v>
      </c>
      <c r="J31">
        <v>2.1999999999999999E-2</v>
      </c>
      <c r="K31">
        <v>100</v>
      </c>
      <c r="L31">
        <f t="shared" si="2"/>
        <v>55.102040816326522</v>
      </c>
      <c r="M31">
        <v>50</v>
      </c>
      <c r="N31" s="1">
        <f t="shared" si="3"/>
        <v>1.3870350205486668</v>
      </c>
      <c r="O31">
        <v>1.3680000000000001</v>
      </c>
      <c r="P31">
        <v>1.371</v>
      </c>
      <c r="Q31">
        <v>1.4</v>
      </c>
      <c r="R31">
        <f t="shared" si="4"/>
        <v>1.3796666666666664</v>
      </c>
      <c r="S31">
        <v>2.4</v>
      </c>
      <c r="T31">
        <v>4</v>
      </c>
      <c r="U31" s="1">
        <f t="shared" si="5"/>
        <v>1.0418739242685022</v>
      </c>
      <c r="V31">
        <v>0.377</v>
      </c>
      <c r="W31">
        <v>1.84</v>
      </c>
      <c r="X31">
        <v>0.48</v>
      </c>
      <c r="Y31" s="1">
        <f t="shared" si="6"/>
        <v>1.8188952237521518</v>
      </c>
      <c r="Z31">
        <v>2.5000000000000001E-2</v>
      </c>
      <c r="AA31">
        <v>3</v>
      </c>
      <c r="AB31">
        <v>1.56</v>
      </c>
      <c r="AC31" s="1">
        <f t="shared" si="7"/>
        <v>6.0509896729776254E-2</v>
      </c>
      <c r="AD31">
        <v>0.20399999999999999</v>
      </c>
      <c r="AE31">
        <v>0.30499999999999999</v>
      </c>
      <c r="AF31">
        <v>100</v>
      </c>
      <c r="AG31" s="1">
        <f t="shared" si="8"/>
        <v>66.885245901639351</v>
      </c>
      <c r="AH31">
        <v>0.34599999999999997</v>
      </c>
      <c r="AI31">
        <v>1.355</v>
      </c>
      <c r="AJ31">
        <v>100</v>
      </c>
      <c r="AK31" s="1">
        <f t="shared" si="9"/>
        <v>25.535055350553503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PROT,SOD,CAT,GPx,MDA,GSH,TAC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2026-05-20T23:50:48Z</dcterms:created>
  <dcterms:modified xsi:type="dcterms:W3CDTF">2026-05-22T02:38:09Z</dcterms:modified>
</cp:coreProperties>
</file>